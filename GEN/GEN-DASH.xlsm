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itories\Financial Models\GEN\"/>
    </mc:Choice>
  </mc:AlternateContent>
  <xr:revisionPtr revIDLastSave="0" documentId="13_ncr:1_{1465F893-71F4-4B96-9755-E79F297EDAAB}" xr6:coauthVersionLast="47" xr6:coauthVersionMax="47" xr10:uidLastSave="{00000000-0000-0000-0000-000000000000}"/>
  <bookViews>
    <workbookView xWindow="5620" yWindow="2890" windowWidth="29360" windowHeight="17970" activeTab="1" xr2:uid="{6A325040-A097-4ABF-8CB8-152B9E95EEE7}"/>
  </bookViews>
  <sheets>
    <sheet name="SQRNavigation" sheetId="3" r:id="rId1"/>
    <sheet name="SQRInputBindings" sheetId="4" r:id="rId2"/>
    <sheet name="SQRChartBindings" sheetId="5" r:id="rId3"/>
    <sheet name="SQRAnnual" sheetId="6" r:id="rId4"/>
    <sheet name="SQRMonthly" sheetId="7" r:id="rId5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  <c r="I3" i="4"/>
  <c r="I4" i="4"/>
  <c r="I64" i="4" s="1"/>
  <c r="I5" i="4"/>
  <c r="I8" i="4"/>
  <c r="I9" i="4"/>
  <c r="I10" i="4"/>
  <c r="I14" i="4"/>
  <c r="I15" i="4"/>
  <c r="I17" i="4"/>
  <c r="I20" i="4"/>
  <c r="I21" i="4"/>
  <c r="I22" i="4"/>
  <c r="I23" i="4"/>
  <c r="I24" i="4"/>
  <c r="E29" i="4"/>
  <c r="I45" i="4" s="1"/>
  <c r="E32" i="4"/>
  <c r="I46" i="4" s="1"/>
  <c r="E36" i="4"/>
  <c r="E39" i="4"/>
  <c r="I52" i="4" s="1"/>
  <c r="E43" i="4"/>
  <c r="I60" i="4" s="1"/>
  <c r="E46" i="4"/>
  <c r="I47" i="4"/>
  <c r="I48" i="4"/>
  <c r="I53" i="4"/>
  <c r="I55" i="4"/>
  <c r="I56" i="4"/>
  <c r="I59" i="4"/>
  <c r="I61" i="4"/>
  <c r="I63" i="4"/>
  <c r="B6" i="3"/>
  <c r="C6" i="3"/>
  <c r="C11" i="3" s="1"/>
  <c r="C12" i="3" s="1"/>
  <c r="C17" i="3" s="1"/>
  <c r="C18" i="3" s="1"/>
  <c r="C23" i="3" s="1"/>
  <c r="D6" i="3"/>
  <c r="E6" i="3"/>
  <c r="B12" i="3"/>
  <c r="D12" i="3"/>
  <c r="E12" i="3"/>
  <c r="B18" i="3"/>
  <c r="D18" i="3"/>
  <c r="E18" i="3"/>
</calcChain>
</file>

<file path=xl/sharedStrings.xml><?xml version="1.0" encoding="utf-8"?>
<sst xmlns="http://schemas.openxmlformats.org/spreadsheetml/2006/main" count="287" uniqueCount="175">
  <si>
    <t>Export</t>
  </si>
  <si>
    <t>Export to excel</t>
  </si>
  <si>
    <t>Actual</t>
  </si>
  <si>
    <t>Base</t>
  </si>
  <si>
    <t>Buffer</t>
  </si>
  <si>
    <t>height</t>
  </si>
  <si>
    <t>width</t>
  </si>
  <si>
    <t>y</t>
  </si>
  <si>
    <t>X</t>
  </si>
  <si>
    <t>Canvas</t>
  </si>
  <si>
    <t>show</t>
  </si>
  <si>
    <t>Annual</t>
  </si>
  <si>
    <t>Hide</t>
  </si>
  <si>
    <t>Show Charts</t>
  </si>
  <si>
    <t>Monthly</t>
  </si>
  <si>
    <t>Show</t>
  </si>
  <si>
    <t>visible</t>
  </si>
  <si>
    <t>Show Annual/Monthly</t>
  </si>
  <si>
    <t>Show Reports Button</t>
  </si>
  <si>
    <t>Reports</t>
  </si>
  <si>
    <t>Show Charts Button</t>
  </si>
  <si>
    <t>Charts</t>
  </si>
  <si>
    <t>Show Drivers Button</t>
  </si>
  <si>
    <t>Drivers</t>
  </si>
  <si>
    <t>Opening Asset Finance balance</t>
  </si>
  <si>
    <t>Asset Finance Advance %</t>
  </si>
  <si>
    <t>Asset Finance Period</t>
  </si>
  <si>
    <t>All in Trade finance annual interest rate</t>
  </si>
  <si>
    <t>Asset Finance Enabled beginning date</t>
  </si>
  <si>
    <t>Asset Finance Enabled end date</t>
  </si>
  <si>
    <t>AF Drawdown</t>
  </si>
  <si>
    <t>%</t>
  </si>
  <si>
    <t>Trade finance Advance %</t>
  </si>
  <si>
    <t>AF Interest Rate</t>
  </si>
  <si>
    <t>GBP</t>
  </si>
  <si>
    <t>Opening Trade finance balance</t>
  </si>
  <si>
    <t>TF Drawdown</t>
  </si>
  <si>
    <t>date</t>
  </si>
  <si>
    <t>Trade finance enabled beginning date</t>
  </si>
  <si>
    <t>TF Interest Rate</t>
  </si>
  <si>
    <t>Trade finance enabled end date</t>
  </si>
  <si>
    <t>IF Drawdown</t>
  </si>
  <si>
    <t>IF Interest Rate</t>
  </si>
  <si>
    <t>Opening Invoice finance balance</t>
  </si>
  <si>
    <t>All in Invoice Finance annual interest rate</t>
  </si>
  <si>
    <t>AF End Year</t>
  </si>
  <si>
    <t>Invoice Finance Advance %</t>
  </si>
  <si>
    <t>AF End Month</t>
  </si>
  <si>
    <t>Invoice Finance Enabled end date</t>
  </si>
  <si>
    <t>Year 4 / 5</t>
  </si>
  <si>
    <t>Invoice Finance Enabled beginning date</t>
  </si>
  <si>
    <t>End Date</t>
  </si>
  <si>
    <t>AF Start Year</t>
  </si>
  <si>
    <t>Year 3 / 4</t>
  </si>
  <si>
    <t>AF Start Month</t>
  </si>
  <si>
    <t>Year 2 / 3</t>
  </si>
  <si>
    <t>unchecked</t>
  </si>
  <si>
    <t>AF Enabled</t>
  </si>
  <si>
    <t>Year 1 / 2</t>
  </si>
  <si>
    <t>day</t>
  </si>
  <si>
    <t>debt day count convention</t>
  </si>
  <si>
    <t>Start Date</t>
  </si>
  <si>
    <t>Days in period</t>
  </si>
  <si>
    <t>TF End Year</t>
  </si>
  <si>
    <t>Charts Drop Down</t>
  </si>
  <si>
    <t>TF End Month</t>
  </si>
  <si>
    <t>Opening Retained Earnings</t>
  </si>
  <si>
    <t>TF Start Year</t>
  </si>
  <si>
    <t>Opening Creditors</t>
  </si>
  <si>
    <t>TF Start Month</t>
  </si>
  <si>
    <t>Opening Debtors</t>
  </si>
  <si>
    <t>TF Enabled</t>
  </si>
  <si>
    <t>Opening Inventory</t>
  </si>
  <si>
    <t>Opening Deferred Income</t>
  </si>
  <si>
    <t>IF End Year</t>
  </si>
  <si>
    <t>Opening Cash</t>
  </si>
  <si>
    <t>IF End Month</t>
  </si>
  <si>
    <t>Opening Share Capital</t>
  </si>
  <si>
    <t>IF Start Year</t>
  </si>
  <si>
    <t>IF Start Month</t>
  </si>
  <si>
    <t>Units</t>
  </si>
  <si>
    <t>Opening Units in use</t>
  </si>
  <si>
    <t>IF Enabled</t>
  </si>
  <si>
    <t>Opening Units in stock</t>
  </si>
  <si>
    <t>Opening Units on order</t>
  </si>
  <si>
    <t>Minimum supplier order quantity</t>
  </si>
  <si>
    <t>Supplier price per unit</t>
  </si>
  <si>
    <t>Months</t>
  </si>
  <si>
    <t>Order lead time (months)</t>
  </si>
  <si>
    <t>Supplier order deposit</t>
  </si>
  <si>
    <t>Dec</t>
  </si>
  <si>
    <t>Minimum quantity before reorder</t>
  </si>
  <si>
    <t>Variable operating costs as a % of sales</t>
  </si>
  <si>
    <t>Nov</t>
  </si>
  <si>
    <t>FOC annual growth rate</t>
  </si>
  <si>
    <t>Oct</t>
  </si>
  <si>
    <t>fixed operating cost (FOC)</t>
  </si>
  <si>
    <t>Sep</t>
  </si>
  <si>
    <t>Variable Operating Costs as a % of sales</t>
  </si>
  <si>
    <t>Expense:</t>
  </si>
  <si>
    <t>Aug</t>
  </si>
  <si>
    <t>Fixed Operating Cost Growth Rate escalation frequency</t>
  </si>
  <si>
    <t>Jul</t>
  </si>
  <si>
    <t>Fixed Operating Cost Growth Rate annual start escalation rate</t>
  </si>
  <si>
    <t>Customer Retention:</t>
  </si>
  <si>
    <t>Jun</t>
  </si>
  <si>
    <t>Fixed operating cost base</t>
  </si>
  <si>
    <t>Annual Growth Rate:</t>
  </si>
  <si>
    <t>May</t>
  </si>
  <si>
    <t>customer contract length (months):</t>
  </si>
  <si>
    <t>Apr</t>
  </si>
  <si>
    <t>sales price (per unit):</t>
  </si>
  <si>
    <t>Mar</t>
  </si>
  <si>
    <t>Invoice Term</t>
  </si>
  <si>
    <t>Customer payment terms (months):</t>
  </si>
  <si>
    <t>Feb</t>
  </si>
  <si>
    <t>Contract Length</t>
  </si>
  <si>
    <t>Customer base monthly order:</t>
  </si>
  <si>
    <t>Jan</t>
  </si>
  <si>
    <t>Sales Price Unit</t>
  </si>
  <si>
    <t>Customer Orders:</t>
  </si>
  <si>
    <t>Years</t>
  </si>
  <si>
    <t>Customer payment terms (months)</t>
  </si>
  <si>
    <t>Opening Customer Orders Awaiting Fullfilment</t>
  </si>
  <si>
    <t>minimum stock:</t>
  </si>
  <si>
    <t>Finance</t>
  </si>
  <si>
    <t>Customer Order Growth escalation frequency</t>
  </si>
  <si>
    <t>minimum order:</t>
  </si>
  <si>
    <t>Customer Order Growth annual start escalation rate</t>
  </si>
  <si>
    <t>cost per unit:</t>
  </si>
  <si>
    <t>Customer base order number</t>
  </si>
  <si>
    <t>Lead time (months):</t>
  </si>
  <si>
    <t>Customer Retention</t>
  </si>
  <si>
    <t>Supplier Deposit:</t>
  </si>
  <si>
    <t>(link INC directly to each of these</t>
  </si>
  <si>
    <t>(for model drivers</t>
  </si>
  <si>
    <t>(saved in scenarios</t>
  </si>
  <si>
    <t>Supplier Orders:</t>
  </si>
  <si>
    <t>Dropdown lists and labels</t>
  </si>
  <si>
    <t>Model Drivers</t>
  </si>
  <si>
    <t>Calculations from Inputs</t>
  </si>
  <si>
    <t>Dashbboard Inputs</t>
  </si>
  <si>
    <t>Dashboard Labels</t>
  </si>
  <si>
    <t/>
  </si>
  <si>
    <t>Units retired</t>
  </si>
  <si>
    <t>Inventory Report</t>
  </si>
  <si>
    <t>Units in Use</t>
  </si>
  <si>
    <t>Units in stock</t>
  </si>
  <si>
    <t>Units on order</t>
  </si>
  <si>
    <t>Customer orders waiting</t>
  </si>
  <si>
    <t>Corporation Tax</t>
  </si>
  <si>
    <t>Income Statement</t>
  </si>
  <si>
    <t>Asset Finance</t>
  </si>
  <si>
    <t>Trade Finance</t>
  </si>
  <si>
    <t>Invoice Finance</t>
  </si>
  <si>
    <t>Depreciation</t>
  </si>
  <si>
    <t>Fixed Expense</t>
  </si>
  <si>
    <t>Variable Expense</t>
  </si>
  <si>
    <t>Retained Earning this period</t>
  </si>
  <si>
    <t>Profit before Tax</t>
  </si>
  <si>
    <t>EBIT</t>
  </si>
  <si>
    <t>EBITDA</t>
  </si>
  <si>
    <t>Income</t>
  </si>
  <si>
    <t>Asset Finance Balance</t>
  </si>
  <si>
    <t>Balance Sheet</t>
  </si>
  <si>
    <t>Trade Finance Balance</t>
  </si>
  <si>
    <t>Invoice Finance Balance</t>
  </si>
  <si>
    <t>Cash Balance</t>
  </si>
  <si>
    <t>Dates</t>
  </si>
  <si>
    <t>SQRMonthly!D2</t>
  </si>
  <si>
    <t>SQRMonthly</t>
  </si>
  <si>
    <t>Chart offsets</t>
  </si>
  <si>
    <t>offset</t>
  </si>
  <si>
    <t>This sheet section enables navigation</t>
  </si>
  <si>
    <t>Enables Exports to excel functionalisty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</si>
</sst>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);\(#,##0\);&quot;-  &quot;;&quot; &quot;@&quot; &quot;"/>
    <numFmt numFmtId="165" formatCode="dd\ mmm\ yy_);\(###0\);&quot;-  &quot;;&quot; &quot;@&quot; &quot;"/>
    <numFmt numFmtId="166" formatCode="0.00%_);\-0.00%_);&quot;-  &quot;;&quot; &quot;@&quot; &quot;"/>
    <numFmt numFmtId="167" formatCode="#,##0_);\(#,##0\);&quot;-  &quot;;&quot; &quot;@"/>
    <numFmt numFmtId="168" formatCode="m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2"/>
      <color rgb="FF000000"/>
      <name val="Open Sans"/>
    </font>
    <font>
      <sz val="10"/>
      <color theme="1"/>
      <name val="Arial"/>
    </font>
    <font>
      <sz val="10"/>
      <color rgb="FF000000"/>
      <name val="Arial"/>
    </font>
    <font>
      <sz val="10"/>
      <name val="Arial"/>
    </font>
    <font>
      <sz val="10"/>
      <color theme="1"/>
      <name val="Calibri"/>
    </font>
    <font>
      <sz val="10"/>
      <color rgb="FF000000"/>
      <name val="Open Sans"/>
    </font>
    <font>
      <b/>
      <sz val="10"/>
      <color theme="1"/>
      <name val="Tahoma"/>
    </font>
    <font>
      <b/>
      <sz val="11"/>
      <color theme="1"/>
      <name val="Calibri"/>
    </font>
    <font>
      <sz val="10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bgColor rgb="FF999999"/>
      </patternFill>
    </fill>
    <fill>
      <patternFill patternType="solid">
        <fgColor rgb="FFFFFF00"/>
        <bgColor rgb="FFFEFF03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00FF00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 style="hair">
        <color indexed="64"/>
      </right>
      <top style="hair">
        <color theme="0"/>
      </top>
      <bottom style="hair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1" fillId="0" borderId="0" xfId="1"/>
    <xf numFmtId="0" fontId="1" fillId="3" borderId="0" xfId="1" applyFill="1"/>
    <xf numFmtId="164" fontId="2" fillId="0" borderId="0" xfId="1" applyNumberFormat="1" applyFont="1" applyAlignment="1">
      <alignment vertical="top"/>
    </xf>
    <xf numFmtId="164" fontId="1" fillId="0" borderId="0" xfId="1" applyNumberFormat="1"/>
    <xf numFmtId="164" fontId="3" fillId="0" borderId="0" xfId="1" applyNumberFormat="1" applyFont="1" applyAlignment="1">
      <alignment vertical="top"/>
    </xf>
    <xf numFmtId="165" fontId="4" fillId="0" borderId="1" xfId="1" applyNumberFormat="1" applyFont="1" applyBorder="1" applyAlignment="1">
      <alignment vertical="top"/>
    </xf>
    <xf numFmtId="165" fontId="3" fillId="0" borderId="0" xfId="1" applyNumberFormat="1" applyFont="1" applyAlignment="1">
      <alignment vertical="top"/>
    </xf>
    <xf numFmtId="164" fontId="5" fillId="0" borderId="2" xfId="1" applyNumberFormat="1" applyFont="1" applyBorder="1" applyAlignment="1">
      <alignment vertical="top"/>
    </xf>
    <xf numFmtId="10" fontId="5" fillId="0" borderId="2" xfId="1" applyNumberFormat="1" applyFont="1" applyBorder="1" applyAlignment="1">
      <alignment vertical="top"/>
    </xf>
    <xf numFmtId="166" fontId="3" fillId="0" borderId="0" xfId="1" applyNumberFormat="1" applyFont="1" applyAlignment="1">
      <alignment vertical="top"/>
    </xf>
    <xf numFmtId="165" fontId="5" fillId="0" borderId="2" xfId="1" applyNumberFormat="1" applyFont="1" applyBorder="1" applyAlignment="1">
      <alignment vertical="top"/>
    </xf>
    <xf numFmtId="10" fontId="1" fillId="4" borderId="0" xfId="1" applyNumberFormat="1" applyFill="1"/>
    <xf numFmtId="166" fontId="5" fillId="0" borderId="2" xfId="1" applyNumberFormat="1" applyFont="1" applyBorder="1" applyAlignment="1">
      <alignment vertical="top"/>
    </xf>
    <xf numFmtId="10" fontId="1" fillId="0" borderId="0" xfId="1" applyNumberFormat="1"/>
    <xf numFmtId="164" fontId="1" fillId="5" borderId="0" xfId="1" applyNumberFormat="1" applyFill="1"/>
    <xf numFmtId="164" fontId="1" fillId="4" borderId="0" xfId="1" applyNumberFormat="1" applyFill="1"/>
    <xf numFmtId="164" fontId="1" fillId="6" borderId="0" xfId="1" applyNumberFormat="1" applyFill="1"/>
    <xf numFmtId="164" fontId="2" fillId="0" borderId="0" xfId="1" applyNumberFormat="1" applyFont="1"/>
    <xf numFmtId="0" fontId="1" fillId="2" borderId="0" xfId="1" applyFill="1"/>
    <xf numFmtId="166" fontId="5" fillId="0" borderId="0" xfId="1" applyNumberFormat="1" applyFont="1" applyAlignment="1">
      <alignment vertical="top"/>
    </xf>
    <xf numFmtId="167" fontId="5" fillId="0" borderId="0" xfId="1" applyNumberFormat="1" applyFont="1" applyAlignment="1">
      <alignment vertical="top"/>
    </xf>
    <xf numFmtId="167" fontId="3" fillId="0" borderId="0" xfId="1" applyNumberFormat="1" applyFont="1" applyAlignment="1">
      <alignment vertical="top"/>
    </xf>
    <xf numFmtId="1" fontId="1" fillId="0" borderId="0" xfId="1" applyNumberFormat="1"/>
    <xf numFmtId="0" fontId="6" fillId="0" borderId="0" xfId="1" applyFont="1"/>
    <xf numFmtId="3" fontId="6" fillId="0" borderId="0" xfId="1" applyNumberFormat="1" applyFont="1" applyAlignment="1">
      <alignment horizontal="right"/>
    </xf>
    <xf numFmtId="3" fontId="6" fillId="0" borderId="3" xfId="1" applyNumberFormat="1" applyFont="1" applyBorder="1" applyAlignment="1">
      <alignment horizontal="right"/>
    </xf>
    <xf numFmtId="0" fontId="1" fillId="0" borderId="3" xfId="1" applyBorder="1"/>
    <xf numFmtId="0" fontId="6" fillId="0" borderId="3" xfId="1" applyFont="1" applyBorder="1"/>
    <xf numFmtId="164" fontId="7" fillId="0" borderId="0" xfId="1" applyNumberFormat="1" applyFont="1"/>
    <xf numFmtId="164" fontId="8" fillId="0" borderId="0" xfId="1" applyNumberFormat="1" applyFont="1" applyAlignment="1">
      <alignment vertical="top"/>
    </xf>
    <xf numFmtId="164" fontId="8" fillId="0" borderId="0" xfId="1" applyNumberFormat="1" applyFont="1"/>
    <xf numFmtId="164" fontId="6" fillId="0" borderId="0" xfId="1" applyNumberFormat="1" applyFont="1" applyAlignment="1">
      <alignment horizontal="right"/>
    </xf>
    <xf numFmtId="168" fontId="9" fillId="0" borderId="0" xfId="1" applyNumberFormat="1" applyFont="1" applyAlignment="1">
      <alignment horizontal="right"/>
    </xf>
    <xf numFmtId="0" fontId="1" fillId="0" borderId="0" xfId="1" applyAlignment="1">
      <alignment horizontal="right"/>
    </xf>
    <xf numFmtId="164" fontId="9" fillId="0" borderId="0" xfId="1" applyNumberFormat="1" applyFont="1" applyAlignment="1">
      <alignment horizontal="left"/>
    </xf>
    <xf numFmtId="1" fontId="6" fillId="0" borderId="0" xfId="1" applyNumberFormat="1" applyFont="1"/>
    <xf numFmtId="1" fontId="6" fillId="0" borderId="3" xfId="1" applyNumberFormat="1" applyFont="1" applyBorder="1"/>
    <xf numFmtId="164" fontId="1" fillId="0" borderId="0" xfId="1" applyNumberFormat="1" applyAlignment="1">
      <alignment vertical="top"/>
    </xf>
    <xf numFmtId="164" fontId="6" fillId="0" borderId="0" xfId="1" applyNumberFormat="1" applyFont="1"/>
    <xf numFmtId="3" fontId="6" fillId="0" borderId="0" xfId="1" applyNumberFormat="1" applyFont="1"/>
    <xf numFmtId="3" fontId="6" fillId="0" borderId="3" xfId="1" applyNumberFormat="1" applyFont="1" applyBorder="1"/>
    <xf numFmtId="164" fontId="6" fillId="0" borderId="3" xfId="1" applyNumberFormat="1" applyFont="1" applyBorder="1"/>
    <xf numFmtId="164" fontId="1" fillId="0" borderId="3" xfId="1" applyNumberFormat="1" applyBorder="1" applyAlignment="1">
      <alignment vertical="top"/>
    </xf>
    <xf numFmtId="164" fontId="10" fillId="0" borderId="0" xfId="1" applyNumberFormat="1" applyFont="1"/>
    <xf numFmtId="3" fontId="10" fillId="0" borderId="0" xfId="1" applyNumberFormat="1" applyFont="1"/>
    <xf numFmtId="164" fontId="9" fillId="0" borderId="0" xfId="1" applyNumberFormat="1" applyFont="1"/>
    <xf numFmtId="168" fontId="9" fillId="0" borderId="0" xfId="1" applyNumberFormat="1" applyFont="1"/>
    <xf numFmtId="164" fontId="9" fillId="0" borderId="0" xfId="1" applyNumberFormat="1" applyFont="1" applyAlignment="1">
      <alignment vertical="top"/>
    </xf>
    <xf numFmtId="0" fontId="1" fillId="7" borderId="0" xfId="1" applyFill="1"/>
  </cellXfs>
  <cellStyles count="2">
    <cellStyle name="Normal" xfId="0" builtinId="0"/>
    <cellStyle name="Normal 2" xfId="1" xr:uid="{32703763-0CF5-458B-B9BA-4C26292FC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CA3D-BD64-4464-B0F4-D4F6F4C40469}">
  <sheetPr codeName="Sheet1"/>
  <dimension ref="A1:J31"/>
  <sheetViews>
    <sheetView workbookViewId="0">
      <selection activeCell="C33" sqref="C33"/>
    </sheetView>
  </sheetViews>
  <sheetFormatPr defaultColWidth="9.08984375" defaultRowHeight="14.5" x14ac:dyDescent="0.35"/>
  <cols>
    <col min="1" max="3" width="21.7265625" style="1" customWidth="1"/>
    <col min="4" max="4" width="32.7265625" style="1" customWidth="1"/>
    <col min="5" max="5" width="21.7265625" style="1" customWidth="1"/>
    <col min="6" max="6" width="41.7265625" style="1" customWidth="1"/>
    <col min="7" max="7" width="31.7265625" style="1" customWidth="1"/>
    <col min="8" max="8" width="30.7265625" style="1" customWidth="1"/>
    <col min="9" max="21" width="21.7265625" style="1" customWidth="1"/>
    <col min="22" max="16384" width="9.08984375" style="1"/>
  </cols>
  <sheetData>
    <row r="1" spans="1:10" ht="18" x14ac:dyDescent="0.35">
      <c r="A1" s="49" t="s">
        <v>173</v>
      </c>
      <c r="B1" s="3"/>
    </row>
    <row r="2" spans="1:10" ht="18" x14ac:dyDescent="0.35">
      <c r="B2" s="3"/>
    </row>
    <row r="3" spans="1:10" x14ac:dyDescent="0.35">
      <c r="B3" s="1" t="s">
        <v>23</v>
      </c>
      <c r="G3" s="1" t="s">
        <v>22</v>
      </c>
    </row>
    <row r="4" spans="1:10" x14ac:dyDescent="0.35">
      <c r="B4" s="1" t="s">
        <v>8</v>
      </c>
      <c r="C4" s="1" t="s">
        <v>7</v>
      </c>
      <c r="D4" s="1" t="s">
        <v>6</v>
      </c>
      <c r="E4" s="1" t="s">
        <v>5</v>
      </c>
      <c r="F4" s="1" t="s">
        <v>16</v>
      </c>
      <c r="G4" s="1" t="s">
        <v>15</v>
      </c>
      <c r="H4" s="1" t="s">
        <v>12</v>
      </c>
    </row>
    <row r="5" spans="1:10" x14ac:dyDescent="0.35">
      <c r="A5" s="1" t="s">
        <v>3</v>
      </c>
      <c r="B5" s="1">
        <v>30</v>
      </c>
      <c r="C5" s="1">
        <v>110</v>
      </c>
      <c r="D5" s="1">
        <v>1340</v>
      </c>
      <c r="E5" s="1">
        <v>350</v>
      </c>
      <c r="F5" s="1" t="s">
        <v>10</v>
      </c>
    </row>
    <row r="6" spans="1:10" x14ac:dyDescent="0.35">
      <c r="A6" s="1" t="s">
        <v>2</v>
      </c>
      <c r="B6" s="1">
        <f>B5</f>
        <v>30</v>
      </c>
      <c r="C6" s="1">
        <f>C5</f>
        <v>110</v>
      </c>
      <c r="D6" s="1">
        <f>D5</f>
        <v>1340</v>
      </c>
      <c r="E6" s="1">
        <f>IF(G6="Hide",30,E5)</f>
        <v>350</v>
      </c>
      <c r="F6" s="1" t="s">
        <v>10</v>
      </c>
      <c r="G6" s="1" t="s">
        <v>15</v>
      </c>
    </row>
    <row r="7" spans="1:10" s="2" customFormat="1" x14ac:dyDescent="0.35"/>
    <row r="8" spans="1:10" x14ac:dyDescent="0.35">
      <c r="B8" s="1" t="s">
        <v>21</v>
      </c>
      <c r="G8" s="1" t="s">
        <v>20</v>
      </c>
    </row>
    <row r="9" spans="1:10" x14ac:dyDescent="0.35">
      <c r="B9" s="1" t="s">
        <v>8</v>
      </c>
      <c r="C9" s="1" t="s">
        <v>7</v>
      </c>
      <c r="D9" s="1" t="s">
        <v>6</v>
      </c>
      <c r="E9" s="1" t="s">
        <v>5</v>
      </c>
      <c r="F9" s="1" t="s">
        <v>16</v>
      </c>
      <c r="G9" s="1" t="s">
        <v>15</v>
      </c>
      <c r="H9" s="1" t="s">
        <v>12</v>
      </c>
    </row>
    <row r="10" spans="1:10" x14ac:dyDescent="0.35">
      <c r="A10" s="1" t="s">
        <v>4</v>
      </c>
      <c r="C10" s="1">
        <v>20</v>
      </c>
    </row>
    <row r="11" spans="1:10" x14ac:dyDescent="0.35">
      <c r="A11" s="1" t="s">
        <v>3</v>
      </c>
      <c r="B11" s="1">
        <v>30</v>
      </c>
      <c r="C11" s="1">
        <f>C6+E6+C10</f>
        <v>480</v>
      </c>
      <c r="D11" s="1">
        <v>1340</v>
      </c>
      <c r="E11" s="1">
        <v>1080</v>
      </c>
      <c r="F11" s="1" t="s">
        <v>13</v>
      </c>
      <c r="G11" s="1" t="s">
        <v>15</v>
      </c>
    </row>
    <row r="12" spans="1:10" x14ac:dyDescent="0.35">
      <c r="A12" s="1" t="s">
        <v>2</v>
      </c>
      <c r="B12" s="1">
        <f>B11</f>
        <v>30</v>
      </c>
      <c r="C12" s="1">
        <f>C11</f>
        <v>480</v>
      </c>
      <c r="D12" s="1">
        <f>D11</f>
        <v>1340</v>
      </c>
      <c r="E12" s="1">
        <f>E11</f>
        <v>1080</v>
      </c>
      <c r="F12" s="1" t="s">
        <v>10</v>
      </c>
    </row>
    <row r="13" spans="1:10" s="2" customFormat="1" x14ac:dyDescent="0.35"/>
    <row r="14" spans="1:10" x14ac:dyDescent="0.35">
      <c r="B14" s="1" t="s">
        <v>19</v>
      </c>
      <c r="G14" s="1" t="s">
        <v>18</v>
      </c>
      <c r="I14" s="1" t="s">
        <v>17</v>
      </c>
    </row>
    <row r="15" spans="1:10" x14ac:dyDescent="0.35">
      <c r="B15" s="1" t="s">
        <v>8</v>
      </c>
      <c r="C15" s="1" t="s">
        <v>7</v>
      </c>
      <c r="D15" s="1" t="s">
        <v>6</v>
      </c>
      <c r="E15" s="1" t="s">
        <v>5</v>
      </c>
      <c r="F15" s="1" t="s">
        <v>16</v>
      </c>
      <c r="G15" s="1" t="s">
        <v>15</v>
      </c>
      <c r="H15" s="1" t="s">
        <v>12</v>
      </c>
      <c r="I15" s="1" t="s">
        <v>11</v>
      </c>
      <c r="J15" s="1" t="s">
        <v>14</v>
      </c>
    </row>
    <row r="16" spans="1:10" x14ac:dyDescent="0.35">
      <c r="A16" s="1" t="s">
        <v>4</v>
      </c>
      <c r="C16" s="1">
        <v>20</v>
      </c>
    </row>
    <row r="17" spans="1:9" x14ac:dyDescent="0.35">
      <c r="A17" s="1" t="s">
        <v>3</v>
      </c>
      <c r="B17" s="1">
        <v>30</v>
      </c>
      <c r="C17" s="1">
        <f>C12+E12+C16</f>
        <v>1580</v>
      </c>
      <c r="D17" s="1">
        <v>1340</v>
      </c>
      <c r="E17" s="1">
        <v>1200</v>
      </c>
      <c r="F17" s="1" t="s">
        <v>13</v>
      </c>
      <c r="G17" s="1" t="s">
        <v>12</v>
      </c>
      <c r="I17" s="1" t="s">
        <v>11</v>
      </c>
    </row>
    <row r="18" spans="1:9" x14ac:dyDescent="0.35">
      <c r="A18" s="1" t="s">
        <v>2</v>
      </c>
      <c r="B18" s="1">
        <f>B17</f>
        <v>30</v>
      </c>
      <c r="C18" s="1">
        <f>C17</f>
        <v>1580</v>
      </c>
      <c r="D18" s="1">
        <f>D17</f>
        <v>1340</v>
      </c>
      <c r="E18" s="1">
        <f>IF(G17="Hide",30,E17)</f>
        <v>30</v>
      </c>
      <c r="F18" s="1" t="s">
        <v>10</v>
      </c>
    </row>
    <row r="19" spans="1:9" s="2" customFormat="1" x14ac:dyDescent="0.35"/>
    <row r="20" spans="1:9" x14ac:dyDescent="0.35">
      <c r="B20" s="1" t="s">
        <v>9</v>
      </c>
    </row>
    <row r="21" spans="1:9" x14ac:dyDescent="0.35">
      <c r="B21" s="1" t="s">
        <v>8</v>
      </c>
      <c r="C21" s="1" t="s">
        <v>7</v>
      </c>
      <c r="D21" s="1" t="s">
        <v>6</v>
      </c>
      <c r="E21" s="1" t="s">
        <v>5</v>
      </c>
    </row>
    <row r="22" spans="1:9" x14ac:dyDescent="0.35">
      <c r="A22" s="1" t="s">
        <v>4</v>
      </c>
      <c r="C22" s="1">
        <v>50</v>
      </c>
    </row>
    <row r="23" spans="1:9" x14ac:dyDescent="0.35">
      <c r="A23" s="1" t="s">
        <v>3</v>
      </c>
      <c r="B23" s="1">
        <v>1440</v>
      </c>
      <c r="C23" s="1">
        <f>C18+E18+C22</f>
        <v>1660</v>
      </c>
    </row>
    <row r="24" spans="1:9" x14ac:dyDescent="0.35">
      <c r="A24" s="1" t="s">
        <v>2</v>
      </c>
    </row>
    <row r="29" spans="1:9" x14ac:dyDescent="0.35">
      <c r="A29" s="49" t="s">
        <v>174</v>
      </c>
    </row>
    <row r="30" spans="1:9" x14ac:dyDescent="0.35">
      <c r="B30" s="1" t="s">
        <v>1</v>
      </c>
    </row>
    <row r="31" spans="1:9" x14ac:dyDescent="0.35">
      <c r="A31" s="1" t="s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5CE58-A082-45FF-B337-D63A86F3507E}">
  <sheetPr codeName="Sheet2"/>
  <dimension ref="A1:IQ81"/>
  <sheetViews>
    <sheetView tabSelected="1" workbookViewId="0">
      <selection activeCell="C56" sqref="C56"/>
    </sheetView>
  </sheetViews>
  <sheetFormatPr defaultColWidth="9.08984375" defaultRowHeight="14.5" x14ac:dyDescent="0.35"/>
  <cols>
    <col min="1" max="1" width="9.08984375" style="4"/>
    <col min="2" max="2" width="19.7265625" style="4" customWidth="1"/>
    <col min="3" max="3" width="32.7265625" style="4" customWidth="1"/>
    <col min="4" max="4" width="25.7265625" style="4" customWidth="1"/>
    <col min="5" max="5" width="20.7265625" style="4" customWidth="1"/>
    <col min="6" max="6" width="9.08984375" style="4"/>
    <col min="7" max="7" width="37.7265625" style="4" customWidth="1"/>
    <col min="8" max="8" width="42.7265625" style="4" customWidth="1"/>
    <col min="9" max="9" width="14.7265625" style="4" customWidth="1"/>
    <col min="10" max="11" width="9.08984375" style="4"/>
    <col min="12" max="12" width="27.7265625" style="4" customWidth="1"/>
    <col min="13" max="16" width="9.08984375" style="4"/>
    <col min="17" max="18" width="8.7265625" style="4" customWidth="1"/>
    <col min="19" max="19" width="15.7265625" style="4" customWidth="1"/>
    <col min="20" max="251" width="9.08984375" style="4"/>
    <col min="252" max="16384" width="9.08984375" style="1"/>
  </cols>
  <sheetData>
    <row r="1" spans="3:23" ht="18" x14ac:dyDescent="0.5">
      <c r="C1" s="18" t="s">
        <v>142</v>
      </c>
      <c r="D1" s="18" t="s">
        <v>141</v>
      </c>
      <c r="E1" s="18" t="s">
        <v>140</v>
      </c>
      <c r="H1" s="18" t="s">
        <v>139</v>
      </c>
      <c r="L1" s="18" t="s">
        <v>138</v>
      </c>
    </row>
    <row r="2" spans="3:23" ht="17" customHeight="1" x14ac:dyDescent="0.35">
      <c r="C2" s="1" t="s">
        <v>137</v>
      </c>
      <c r="D2" s="1" t="s">
        <v>136</v>
      </c>
      <c r="E2" s="1" t="s">
        <v>135</v>
      </c>
      <c r="H2" s="1" t="s">
        <v>134</v>
      </c>
    </row>
    <row r="3" spans="3:23" x14ac:dyDescent="0.35">
      <c r="C3" s="1" t="s">
        <v>133</v>
      </c>
      <c r="D3" s="19">
        <v>0.3</v>
      </c>
      <c r="H3" s="20" t="s">
        <v>132</v>
      </c>
      <c r="I3" s="13">
        <f>D15</f>
        <v>0.9</v>
      </c>
      <c r="J3" s="20" t="s">
        <v>31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3:23" x14ac:dyDescent="0.35">
      <c r="C4" s="1" t="s">
        <v>131</v>
      </c>
      <c r="D4" s="19">
        <v>6</v>
      </c>
      <c r="H4" s="5" t="s">
        <v>130</v>
      </c>
      <c r="I4" s="8">
        <f>D10</f>
        <v>500</v>
      </c>
      <c r="J4" s="5" t="s">
        <v>80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3:23" x14ac:dyDescent="0.35">
      <c r="C5" s="1" t="s">
        <v>129</v>
      </c>
      <c r="D5" s="19">
        <v>35</v>
      </c>
      <c r="H5" s="10" t="s">
        <v>128</v>
      </c>
      <c r="I5" s="13">
        <f>D14</f>
        <v>1</v>
      </c>
      <c r="J5" s="10" t="s">
        <v>31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3:23" ht="18" x14ac:dyDescent="0.5">
      <c r="C6" s="1" t="s">
        <v>127</v>
      </c>
      <c r="D6" s="19">
        <v>5000</v>
      </c>
      <c r="H6" s="5" t="s">
        <v>126</v>
      </c>
      <c r="I6" s="8">
        <v>1</v>
      </c>
      <c r="J6" s="5"/>
      <c r="K6" s="1"/>
      <c r="L6" s="18" t="s">
        <v>125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3:23" x14ac:dyDescent="0.35">
      <c r="C7" s="1" t="s">
        <v>124</v>
      </c>
      <c r="D7" s="19">
        <v>1000</v>
      </c>
      <c r="H7" s="5" t="s">
        <v>123</v>
      </c>
      <c r="I7" s="8"/>
      <c r="J7" s="5" t="s">
        <v>80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3:23" ht="18" x14ac:dyDescent="0.5">
      <c r="D8" s="1"/>
      <c r="H8" s="5" t="s">
        <v>122</v>
      </c>
      <c r="I8" s="8">
        <f>D11</f>
        <v>2</v>
      </c>
      <c r="J8" s="5" t="s">
        <v>87</v>
      </c>
      <c r="K8" s="1"/>
      <c r="L8" s="18" t="s">
        <v>87</v>
      </c>
      <c r="M8" s="18" t="s">
        <v>121</v>
      </c>
      <c r="N8" s="1"/>
      <c r="O8" s="1"/>
      <c r="P8" s="1"/>
      <c r="Q8" s="1"/>
      <c r="R8" s="1"/>
      <c r="S8" s="1"/>
      <c r="T8" s="1"/>
      <c r="U8" s="1"/>
      <c r="V8" s="1"/>
      <c r="W8" s="1"/>
    </row>
    <row r="9" spans="3:23" x14ac:dyDescent="0.35">
      <c r="C9" s="1" t="s">
        <v>120</v>
      </c>
      <c r="D9" s="19"/>
      <c r="H9" s="5" t="s">
        <v>119</v>
      </c>
      <c r="I9" s="8">
        <f>D12</f>
        <v>35</v>
      </c>
      <c r="J9" s="5" t="s">
        <v>34</v>
      </c>
      <c r="K9" s="1"/>
      <c r="L9" s="1" t="s">
        <v>118</v>
      </c>
      <c r="M9" s="1">
        <v>2023</v>
      </c>
      <c r="N9" s="1"/>
      <c r="O9" s="1"/>
      <c r="P9" s="1"/>
      <c r="Q9" s="1"/>
      <c r="R9" s="1"/>
      <c r="S9" s="1"/>
      <c r="T9" s="1"/>
      <c r="U9" s="1"/>
      <c r="V9" s="1"/>
      <c r="W9" s="1"/>
    </row>
    <row r="10" spans="3:23" x14ac:dyDescent="0.35">
      <c r="C10" s="1" t="s">
        <v>117</v>
      </c>
      <c r="D10" s="19">
        <v>500</v>
      </c>
      <c r="H10" s="5" t="s">
        <v>116</v>
      </c>
      <c r="I10" s="8">
        <f>D13</f>
        <v>24</v>
      </c>
      <c r="J10" s="5" t="s">
        <v>87</v>
      </c>
      <c r="K10" s="1"/>
      <c r="L10" s="1" t="s">
        <v>115</v>
      </c>
      <c r="M10" s="1">
        <v>2024</v>
      </c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3:23" ht="15" customHeight="1" x14ac:dyDescent="0.35">
      <c r="C11" s="1" t="s">
        <v>114</v>
      </c>
      <c r="D11" s="19">
        <v>2</v>
      </c>
      <c r="H11" s="5" t="s">
        <v>113</v>
      </c>
      <c r="I11" s="8">
        <v>12</v>
      </c>
      <c r="J11" s="5" t="s">
        <v>87</v>
      </c>
      <c r="K11" s="1"/>
      <c r="L11" s="1" t="s">
        <v>112</v>
      </c>
      <c r="M11" s="1">
        <v>2025</v>
      </c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3:23" ht="19" customHeight="1" x14ac:dyDescent="0.35">
      <c r="C12" s="1" t="s">
        <v>111</v>
      </c>
      <c r="D12" s="19">
        <v>35</v>
      </c>
      <c r="I12" s="1"/>
      <c r="L12" s="1" t="s">
        <v>110</v>
      </c>
      <c r="M12" s="1">
        <v>2026</v>
      </c>
      <c r="P12" s="1"/>
      <c r="Q12" s="1"/>
      <c r="T12" s="1"/>
    </row>
    <row r="13" spans="3:23" x14ac:dyDescent="0.35">
      <c r="C13" s="1" t="s">
        <v>109</v>
      </c>
      <c r="D13" s="19">
        <v>24</v>
      </c>
      <c r="I13" s="1"/>
      <c r="L13" s="1" t="s">
        <v>108</v>
      </c>
      <c r="M13" s="1">
        <v>2027</v>
      </c>
      <c r="P13" s="1"/>
      <c r="Q13" s="1"/>
      <c r="U13" s="1"/>
    </row>
    <row r="14" spans="3:23" x14ac:dyDescent="0.35">
      <c r="C14" s="1" t="s">
        <v>107</v>
      </c>
      <c r="D14" s="19">
        <v>1</v>
      </c>
      <c r="H14" s="5" t="s">
        <v>106</v>
      </c>
      <c r="I14" s="8">
        <f>D18</f>
        <v>25000</v>
      </c>
      <c r="J14" s="5" t="s">
        <v>34</v>
      </c>
      <c r="K14" s="1"/>
      <c r="L14" s="1" t="s">
        <v>105</v>
      </c>
      <c r="M14" s="1">
        <v>2028</v>
      </c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3:23" x14ac:dyDescent="0.35">
      <c r="C15" s="1" t="s">
        <v>104</v>
      </c>
      <c r="D15" s="19">
        <v>0.9</v>
      </c>
      <c r="H15" s="10" t="s">
        <v>103</v>
      </c>
      <c r="I15" s="13">
        <f>D19</f>
        <v>0.1</v>
      </c>
      <c r="J15" s="10" t="s">
        <v>31</v>
      </c>
      <c r="K15" s="1"/>
      <c r="L15" s="1" t="s">
        <v>102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3:23" x14ac:dyDescent="0.35">
      <c r="D16" s="1"/>
      <c r="H16" s="5" t="s">
        <v>101</v>
      </c>
      <c r="I16" s="8">
        <v>3</v>
      </c>
      <c r="J16" s="5" t="s">
        <v>87</v>
      </c>
      <c r="K16" s="1"/>
      <c r="L16" s="1" t="s">
        <v>100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51" x14ac:dyDescent="0.35">
      <c r="C17" s="1" t="s">
        <v>99</v>
      </c>
      <c r="D17" s="19"/>
      <c r="H17" s="10" t="s">
        <v>98</v>
      </c>
      <c r="I17" s="13">
        <f>D20</f>
        <v>0.05</v>
      </c>
      <c r="J17" s="10" t="s">
        <v>31</v>
      </c>
      <c r="K17" s="1"/>
      <c r="L17" s="1" t="s">
        <v>97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51" x14ac:dyDescent="0.35">
      <c r="C18" s="1" t="s">
        <v>96</v>
      </c>
      <c r="D18" s="19">
        <v>25000</v>
      </c>
      <c r="I18" s="1"/>
      <c r="L18" s="1" t="s">
        <v>95</v>
      </c>
      <c r="T18" s="1"/>
    </row>
    <row r="19" spans="1:251" x14ac:dyDescent="0.35">
      <c r="C19" s="1" t="s">
        <v>94</v>
      </c>
      <c r="D19" s="19">
        <v>0.1</v>
      </c>
      <c r="I19" s="1"/>
      <c r="L19" s="1" t="s">
        <v>93</v>
      </c>
      <c r="M19" s="1"/>
      <c r="T19" s="1"/>
    </row>
    <row r="20" spans="1:251" x14ac:dyDescent="0.35">
      <c r="C20" s="1" t="s">
        <v>92</v>
      </c>
      <c r="D20" s="19">
        <v>0.05</v>
      </c>
      <c r="H20" s="5" t="s">
        <v>91</v>
      </c>
      <c r="I20" s="8">
        <f>D7</f>
        <v>1000</v>
      </c>
      <c r="J20" s="5" t="s">
        <v>80</v>
      </c>
      <c r="K20" s="1"/>
      <c r="L20" s="1" t="s">
        <v>90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51" x14ac:dyDescent="0.35">
      <c r="C21" s="1"/>
      <c r="D21" s="1"/>
      <c r="H21" s="10" t="s">
        <v>89</v>
      </c>
      <c r="I21" s="13">
        <f>D3</f>
        <v>0.3</v>
      </c>
      <c r="J21" s="10" t="s">
        <v>31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51" x14ac:dyDescent="0.35">
      <c r="D22" s="1"/>
      <c r="H22" s="5" t="s">
        <v>88</v>
      </c>
      <c r="I22" s="8">
        <f>D4</f>
        <v>6</v>
      </c>
      <c r="J22" s="5" t="s">
        <v>87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51" x14ac:dyDescent="0.35">
      <c r="D23" s="1"/>
      <c r="H23" s="5" t="s">
        <v>86</v>
      </c>
      <c r="I23" s="8">
        <f>D5</f>
        <v>35</v>
      </c>
      <c r="J23" s="5" t="s">
        <v>34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51" x14ac:dyDescent="0.35">
      <c r="D24" s="1"/>
      <c r="H24" s="5" t="s">
        <v>85</v>
      </c>
      <c r="I24" s="8">
        <f>D6</f>
        <v>5000</v>
      </c>
      <c r="J24" s="5" t="s">
        <v>80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51" x14ac:dyDescent="0.35">
      <c r="D25" s="1"/>
      <c r="I25" s="1"/>
      <c r="L25" s="1"/>
      <c r="M25" s="1"/>
      <c r="T25" s="1"/>
      <c r="V25" s="1"/>
    </row>
    <row r="26" spans="1:251" x14ac:dyDescent="0.35">
      <c r="D26" s="1"/>
      <c r="I26" s="1"/>
      <c r="L26" s="1"/>
      <c r="M26" s="1"/>
    </row>
    <row r="27" spans="1:251" x14ac:dyDescent="0.35">
      <c r="D27" s="1"/>
      <c r="H27" s="5" t="s">
        <v>84</v>
      </c>
      <c r="I27" s="8"/>
      <c r="J27" s="5" t="s">
        <v>80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51" x14ac:dyDescent="0.35">
      <c r="D28" s="1"/>
      <c r="E28" s="1" t="s">
        <v>61</v>
      </c>
      <c r="H28" s="5" t="s">
        <v>83</v>
      </c>
      <c r="I28" s="8"/>
      <c r="J28" s="5" t="s">
        <v>80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51" x14ac:dyDescent="0.35">
      <c r="B29" s="1"/>
      <c r="C29" s="1" t="s">
        <v>82</v>
      </c>
      <c r="D29" s="16" t="s">
        <v>56</v>
      </c>
      <c r="E29" s="17">
        <f>IF(D29="unchecked",0,DATE(D31,D30,"01"))</f>
        <v>0</v>
      </c>
      <c r="H29" s="5" t="s">
        <v>81</v>
      </c>
      <c r="I29" s="8"/>
      <c r="J29" s="5" t="s">
        <v>80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51" x14ac:dyDescent="0.35">
      <c r="A30" s="1"/>
      <c r="B30" s="1"/>
      <c r="C30" s="1" t="s">
        <v>79</v>
      </c>
      <c r="D30" s="16">
        <v>5</v>
      </c>
      <c r="E30" s="1"/>
      <c r="G30" s="1"/>
      <c r="I30" s="1"/>
      <c r="K30" s="1"/>
      <c r="N30" s="1"/>
      <c r="O30" s="1"/>
      <c r="P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</row>
    <row r="31" spans="1:251" x14ac:dyDescent="0.35">
      <c r="A31" s="1"/>
      <c r="B31" s="1"/>
      <c r="C31" s="1" t="s">
        <v>78</v>
      </c>
      <c r="D31" s="16">
        <v>2023</v>
      </c>
      <c r="E31" s="1" t="s">
        <v>51</v>
      </c>
      <c r="G31" s="1"/>
      <c r="I31" s="1"/>
      <c r="K31" s="1"/>
      <c r="N31" s="1"/>
      <c r="O31" s="1"/>
      <c r="P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</row>
    <row r="32" spans="1:251" x14ac:dyDescent="0.35">
      <c r="A32" s="1"/>
      <c r="B32" s="1"/>
      <c r="C32" s="1"/>
      <c r="D32" s="1"/>
      <c r="E32" s="17">
        <f>IF(D29="unchecked",0,DATE(D34,D33,1))</f>
        <v>0</v>
      </c>
      <c r="G32" s="1"/>
      <c r="H32" s="5" t="s">
        <v>77</v>
      </c>
      <c r="I32" s="8"/>
      <c r="J32" s="5" t="s">
        <v>34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</row>
    <row r="33" spans="1:251" x14ac:dyDescent="0.35">
      <c r="A33" s="1"/>
      <c r="B33" s="1"/>
      <c r="C33" s="1" t="s">
        <v>76</v>
      </c>
      <c r="D33" s="16">
        <v>4</v>
      </c>
      <c r="E33" s="1"/>
      <c r="G33" s="1"/>
      <c r="H33" s="5" t="s">
        <v>75</v>
      </c>
      <c r="I33" s="8"/>
      <c r="J33" s="5" t="s">
        <v>34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</row>
    <row r="34" spans="1:251" x14ac:dyDescent="0.35">
      <c r="A34" s="1"/>
      <c r="B34" s="1"/>
      <c r="C34" s="1" t="s">
        <v>74</v>
      </c>
      <c r="D34" s="16">
        <v>2028</v>
      </c>
      <c r="E34" s="1"/>
      <c r="G34" s="1"/>
      <c r="H34" s="5" t="s">
        <v>73</v>
      </c>
      <c r="I34" s="8"/>
      <c r="J34" s="5" t="s">
        <v>34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</row>
    <row r="35" spans="1:251" x14ac:dyDescent="0.35">
      <c r="C35" s="1"/>
      <c r="D35" s="1"/>
      <c r="E35" s="1" t="s">
        <v>61</v>
      </c>
      <c r="H35" s="5" t="s">
        <v>72</v>
      </c>
      <c r="I35" s="8"/>
      <c r="J35" s="5" t="s">
        <v>34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51" x14ac:dyDescent="0.35">
      <c r="C36" s="1" t="s">
        <v>71</v>
      </c>
      <c r="D36" s="16" t="s">
        <v>56</v>
      </c>
      <c r="E36" s="17">
        <f>IF(D36="unchecked",0,DATE(D38,D37,"01"))</f>
        <v>0</v>
      </c>
      <c r="H36" s="5" t="s">
        <v>70</v>
      </c>
      <c r="I36" s="8"/>
      <c r="J36" s="5" t="s">
        <v>34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51" x14ac:dyDescent="0.35">
      <c r="C37" s="1" t="s">
        <v>69</v>
      </c>
      <c r="D37" s="16">
        <v>5</v>
      </c>
      <c r="H37" s="5" t="s">
        <v>68</v>
      </c>
      <c r="I37" s="8"/>
      <c r="J37" s="5" t="s">
        <v>34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51" x14ac:dyDescent="0.35">
      <c r="C38" s="1" t="s">
        <v>67</v>
      </c>
      <c r="D38" s="16">
        <v>2023</v>
      </c>
      <c r="E38" s="1" t="s">
        <v>51</v>
      </c>
      <c r="H38" s="5" t="s">
        <v>66</v>
      </c>
      <c r="I38" s="8"/>
      <c r="J38" s="5" t="s">
        <v>34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51" x14ac:dyDescent="0.35">
      <c r="D39" s="1"/>
      <c r="E39" s="17">
        <f>IF(D36="unchecked",0,DATE(D41,D40,1))</f>
        <v>0</v>
      </c>
      <c r="I39" s="1"/>
      <c r="L39" s="1"/>
      <c r="M39" s="1"/>
      <c r="Q39" s="1"/>
    </row>
    <row r="40" spans="1:251" ht="18" x14ac:dyDescent="0.5">
      <c r="C40" s="1" t="s">
        <v>65</v>
      </c>
      <c r="D40" s="16">
        <v>4</v>
      </c>
      <c r="E40" s="1"/>
      <c r="I40" s="1"/>
      <c r="L40" s="18" t="s">
        <v>64</v>
      </c>
      <c r="M40" s="1"/>
      <c r="Q40" s="1"/>
    </row>
    <row r="41" spans="1:251" x14ac:dyDescent="0.35">
      <c r="C41" s="1" t="s">
        <v>63</v>
      </c>
      <c r="D41" s="16">
        <v>2028</v>
      </c>
      <c r="E41" s="1"/>
      <c r="H41" s="5" t="s">
        <v>62</v>
      </c>
      <c r="I41" s="8">
        <v>30</v>
      </c>
      <c r="J41" s="5" t="s">
        <v>59</v>
      </c>
      <c r="K41" s="1"/>
      <c r="L41" s="1" t="s">
        <v>11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51" x14ac:dyDescent="0.35">
      <c r="C42" s="1"/>
      <c r="D42" s="1"/>
      <c r="E42" s="1" t="s">
        <v>61</v>
      </c>
      <c r="H42" s="5" t="s">
        <v>60</v>
      </c>
      <c r="I42" s="8">
        <v>360</v>
      </c>
      <c r="J42" s="5" t="s">
        <v>59</v>
      </c>
      <c r="K42" s="1"/>
      <c r="L42" s="4" t="s">
        <v>58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51" x14ac:dyDescent="0.35">
      <c r="C43" s="1" t="s">
        <v>57</v>
      </c>
      <c r="D43" s="16" t="s">
        <v>56</v>
      </c>
      <c r="E43" s="17">
        <f>IF(D43="unchecked",0,DATE(D45,D44,"01"))</f>
        <v>0</v>
      </c>
      <c r="I43" s="1"/>
      <c r="L43" s="1" t="s">
        <v>55</v>
      </c>
      <c r="M43" s="1"/>
    </row>
    <row r="44" spans="1:251" x14ac:dyDescent="0.35">
      <c r="C44" s="1" t="s">
        <v>54</v>
      </c>
      <c r="D44" s="16">
        <v>5</v>
      </c>
      <c r="I44" s="1"/>
      <c r="L44" s="1" t="s">
        <v>53</v>
      </c>
    </row>
    <row r="45" spans="1:251" x14ac:dyDescent="0.35">
      <c r="C45" s="1" t="s">
        <v>52</v>
      </c>
      <c r="D45" s="16">
        <v>2023</v>
      </c>
      <c r="E45" s="1" t="s">
        <v>51</v>
      </c>
      <c r="H45" s="7" t="s">
        <v>50</v>
      </c>
      <c r="I45" s="8">
        <f>E29</f>
        <v>0</v>
      </c>
      <c r="J45" s="7" t="s">
        <v>37</v>
      </c>
      <c r="L45" s="1" t="s">
        <v>49</v>
      </c>
    </row>
    <row r="46" spans="1:251" x14ac:dyDescent="0.35">
      <c r="C46" s="1"/>
      <c r="D46" s="1"/>
      <c r="E46" s="17">
        <f>IF(D43="unchecked",0,DATE(D48,D47,1))</f>
        <v>0</v>
      </c>
      <c r="H46" s="7" t="s">
        <v>48</v>
      </c>
      <c r="I46" s="8">
        <f>E32</f>
        <v>0</v>
      </c>
      <c r="J46" s="7" t="s">
        <v>37</v>
      </c>
    </row>
    <row r="47" spans="1:251" x14ac:dyDescent="0.35">
      <c r="C47" s="1" t="s">
        <v>47</v>
      </c>
      <c r="D47" s="16">
        <v>4</v>
      </c>
      <c r="E47" s="1"/>
      <c r="H47" s="10" t="s">
        <v>46</v>
      </c>
      <c r="I47" s="9">
        <f>D51</f>
        <v>0.9</v>
      </c>
      <c r="J47" s="10" t="s">
        <v>31</v>
      </c>
    </row>
    <row r="48" spans="1:251" x14ac:dyDescent="0.35">
      <c r="C48" s="1" t="s">
        <v>45</v>
      </c>
      <c r="D48" s="16">
        <v>2028</v>
      </c>
      <c r="E48" s="1"/>
      <c r="H48" s="10" t="s">
        <v>44</v>
      </c>
      <c r="I48" s="9">
        <f>D50</f>
        <v>8.5000000000000006E-2</v>
      </c>
      <c r="J48" s="10" t="s">
        <v>31</v>
      </c>
    </row>
    <row r="49" spans="3:27" x14ac:dyDescent="0.35">
      <c r="C49" s="1"/>
      <c r="D49" s="1"/>
      <c r="E49" s="15"/>
      <c r="H49" s="5" t="s">
        <v>43</v>
      </c>
      <c r="I49" s="8"/>
      <c r="J49" s="5" t="s">
        <v>34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3:27" x14ac:dyDescent="0.35">
      <c r="C50" s="1" t="s">
        <v>42</v>
      </c>
      <c r="D50" s="12">
        <v>8.5000000000000006E-2</v>
      </c>
      <c r="I50" s="1"/>
    </row>
    <row r="51" spans="3:27" x14ac:dyDescent="0.35">
      <c r="C51" s="1" t="s">
        <v>41</v>
      </c>
      <c r="D51" s="12">
        <v>0.9</v>
      </c>
      <c r="I51" s="1"/>
    </row>
    <row r="52" spans="3:27" x14ac:dyDescent="0.35">
      <c r="D52" s="14"/>
      <c r="H52" s="7" t="s">
        <v>40</v>
      </c>
      <c r="I52" s="8">
        <f>E39</f>
        <v>0</v>
      </c>
      <c r="J52" s="7" t="s">
        <v>37</v>
      </c>
    </row>
    <row r="53" spans="3:27" x14ac:dyDescent="0.35">
      <c r="C53" s="1" t="s">
        <v>39</v>
      </c>
      <c r="D53" s="12">
        <v>0.08</v>
      </c>
      <c r="H53" s="7" t="s">
        <v>38</v>
      </c>
      <c r="I53" s="8">
        <f>E36</f>
        <v>0</v>
      </c>
      <c r="J53" s="7" t="s">
        <v>37</v>
      </c>
    </row>
    <row r="54" spans="3:27" x14ac:dyDescent="0.35">
      <c r="C54" s="1" t="s">
        <v>36</v>
      </c>
      <c r="D54" s="12">
        <v>0.8</v>
      </c>
      <c r="H54" s="5" t="s">
        <v>35</v>
      </c>
      <c r="I54" s="8"/>
      <c r="J54" s="5" t="s">
        <v>34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3:27" x14ac:dyDescent="0.35">
      <c r="C55" s="1"/>
      <c r="D55" s="14"/>
      <c r="H55" s="10" t="s">
        <v>27</v>
      </c>
      <c r="I55" s="13">
        <f>D53</f>
        <v>0.08</v>
      </c>
      <c r="J55" s="10" t="s">
        <v>31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3:27" x14ac:dyDescent="0.35">
      <c r="C56" s="1" t="s">
        <v>33</v>
      </c>
      <c r="D56" s="12">
        <v>0.08</v>
      </c>
      <c r="H56" s="10" t="s">
        <v>32</v>
      </c>
      <c r="I56" s="13">
        <f>D54</f>
        <v>0.8</v>
      </c>
      <c r="J56" s="10" t="s">
        <v>31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3:27" x14ac:dyDescent="0.35">
      <c r="C57" s="1" t="s">
        <v>30</v>
      </c>
      <c r="D57" s="12">
        <v>1</v>
      </c>
      <c r="I57" s="1"/>
    </row>
    <row r="58" spans="3:27" x14ac:dyDescent="0.35">
      <c r="D58" s="1"/>
      <c r="I58" s="1"/>
    </row>
    <row r="59" spans="3:27" x14ac:dyDescent="0.35">
      <c r="D59" s="1"/>
      <c r="H59" s="7" t="s">
        <v>29</v>
      </c>
      <c r="I59" s="11">
        <f>E46</f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3:27" x14ac:dyDescent="0.35">
      <c r="D60" s="1"/>
      <c r="H60" s="7" t="s">
        <v>28</v>
      </c>
      <c r="I60" s="11">
        <f>E43</f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3:27" x14ac:dyDescent="0.35">
      <c r="D61" s="1"/>
      <c r="H61" s="10" t="s">
        <v>27</v>
      </c>
      <c r="I61" s="9">
        <f>D56</f>
        <v>0.08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3:27" x14ac:dyDescent="0.35">
      <c r="D62" s="1"/>
      <c r="H62" s="5" t="s">
        <v>26</v>
      </c>
      <c r="I62" s="8">
        <v>24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3:27" x14ac:dyDescent="0.35">
      <c r="D63" s="1"/>
      <c r="H63" s="10" t="s">
        <v>25</v>
      </c>
      <c r="I63" s="9">
        <f>D57</f>
        <v>1</v>
      </c>
      <c r="J63" s="5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3:27" x14ac:dyDescent="0.35">
      <c r="D64" s="1"/>
      <c r="H64" s="5" t="s">
        <v>24</v>
      </c>
      <c r="I64" s="8" t="e">
        <f>IF(INDEX(M64:AA64,$I$4)="",INDEX(M64:AA64,$I$6),INDEX(M64:AA64,$I$4))</f>
        <v>#REF!</v>
      </c>
      <c r="J64" s="5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 x14ac:dyDescent="0.35">
      <c r="D65" s="1"/>
      <c r="H65" s="7"/>
      <c r="I65" s="6"/>
      <c r="J65" s="5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 x14ac:dyDescent="0.35">
      <c r="D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 x14ac:dyDescent="0.35">
      <c r="D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 x14ac:dyDescent="0.35">
      <c r="D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 x14ac:dyDescent="0.35">
      <c r="D69" s="1"/>
    </row>
    <row r="70" spans="4:27" x14ac:dyDescent="0.35">
      <c r="D70" s="1"/>
    </row>
    <row r="71" spans="4:27" x14ac:dyDescent="0.35">
      <c r="D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 x14ac:dyDescent="0.35">
      <c r="D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 x14ac:dyDescent="0.35">
      <c r="D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 x14ac:dyDescent="0.35">
      <c r="D74" s="1"/>
      <c r="E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 x14ac:dyDescent="0.35">
      <c r="G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 x14ac:dyDescent="0.35">
      <c r="D76" s="1"/>
      <c r="E76" s="1"/>
    </row>
    <row r="77" spans="4:27" x14ac:dyDescent="0.35">
      <c r="D77" s="1"/>
    </row>
    <row r="78" spans="4:27" x14ac:dyDescent="0.35">
      <c r="D78" s="1"/>
    </row>
    <row r="79" spans="4:27" x14ac:dyDescent="0.35">
      <c r="D79" s="1"/>
    </row>
    <row r="80" spans="4:27" x14ac:dyDescent="0.35">
      <c r="D80" s="1"/>
    </row>
    <row r="81" spans="4:4" x14ac:dyDescent="0.35">
      <c r="D8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7646F-754B-4F9F-902A-D54E0694A5D6}">
  <sheetPr codeName="Sheet3"/>
  <dimension ref="A3:F30"/>
  <sheetViews>
    <sheetView workbookViewId="0">
      <selection activeCell="L55" sqref="L55"/>
    </sheetView>
  </sheetViews>
  <sheetFormatPr defaultColWidth="9.08984375" defaultRowHeight="14.5" x14ac:dyDescent="0.35"/>
  <cols>
    <col min="1" max="1" width="13.7265625" style="1" customWidth="1"/>
    <col min="2" max="2" width="9.7265625" style="1" customWidth="1"/>
    <col min="3" max="3" width="22.7265625" style="1" customWidth="1"/>
    <col min="4" max="4" width="17.7265625" style="1" customWidth="1"/>
    <col min="5" max="5" width="75.7265625" style="1" customWidth="1"/>
    <col min="6" max="21" width="9.7265625" style="1" customWidth="1"/>
    <col min="22" max="16384" width="9.08984375" style="1"/>
  </cols>
  <sheetData>
    <row r="3" spans="1:6" x14ac:dyDescent="0.35">
      <c r="F3" s="1" t="s">
        <v>172</v>
      </c>
    </row>
    <row r="4" spans="1:6" ht="18" x14ac:dyDescent="0.5">
      <c r="D4" s="18" t="s">
        <v>171</v>
      </c>
      <c r="E4" s="4" t="s">
        <v>58</v>
      </c>
      <c r="F4" s="23" t="e">
        <f ca="1">_xludf.SWITCH(SQRChartBindings!E4,"Year 1 / 2",0,"Year 2 / 3",12,"Year 3 / 4",24,"Year 4 / 5",36,0)</f>
        <v>#NAME?</v>
      </c>
    </row>
    <row r="6" spans="1:6" x14ac:dyDescent="0.35">
      <c r="A6" s="1" t="s">
        <v>170</v>
      </c>
      <c r="B6" s="1">
        <v>2</v>
      </c>
      <c r="C6" s="1" t="s">
        <v>169</v>
      </c>
      <c r="D6" s="1" t="s">
        <v>168</v>
      </c>
      <c r="F6" s="4" t="s">
        <v>143</v>
      </c>
    </row>
    <row r="7" spans="1:6" x14ac:dyDescent="0.35">
      <c r="A7" s="1" t="s">
        <v>164</v>
      </c>
      <c r="B7" s="1">
        <v>11</v>
      </c>
      <c r="D7" s="1" t="s">
        <v>167</v>
      </c>
      <c r="F7" s="4" t="s">
        <v>143</v>
      </c>
    </row>
    <row r="8" spans="1:6" x14ac:dyDescent="0.35">
      <c r="A8" s="1" t="s">
        <v>164</v>
      </c>
      <c r="B8" s="1">
        <v>17</v>
      </c>
      <c r="D8" s="1" t="s">
        <v>166</v>
      </c>
      <c r="F8" s="4" t="s">
        <v>143</v>
      </c>
    </row>
    <row r="9" spans="1:6" x14ac:dyDescent="0.35">
      <c r="A9" s="1" t="s">
        <v>164</v>
      </c>
      <c r="B9" s="1">
        <v>16</v>
      </c>
      <c r="D9" s="1" t="s">
        <v>165</v>
      </c>
      <c r="F9" s="4" t="s">
        <v>143</v>
      </c>
    </row>
    <row r="10" spans="1:6" x14ac:dyDescent="0.35">
      <c r="A10" s="1" t="s">
        <v>164</v>
      </c>
      <c r="B10" s="1">
        <v>18</v>
      </c>
      <c r="D10" s="1" t="s">
        <v>163</v>
      </c>
    </row>
    <row r="12" spans="1:6" x14ac:dyDescent="0.35">
      <c r="A12" s="1" t="s">
        <v>151</v>
      </c>
      <c r="B12" s="1">
        <v>8</v>
      </c>
      <c r="D12" s="1" t="s">
        <v>162</v>
      </c>
      <c r="F12" s="4" t="s">
        <v>143</v>
      </c>
    </row>
    <row r="13" spans="1:6" x14ac:dyDescent="0.35">
      <c r="A13" s="1" t="s">
        <v>151</v>
      </c>
      <c r="B13" s="1">
        <v>11</v>
      </c>
      <c r="D13" s="1" t="s">
        <v>161</v>
      </c>
      <c r="F13" s="4" t="s">
        <v>143</v>
      </c>
    </row>
    <row r="14" spans="1:6" x14ac:dyDescent="0.35">
      <c r="A14" s="1" t="s">
        <v>151</v>
      </c>
      <c r="B14" s="1">
        <v>14</v>
      </c>
      <c r="D14" s="1" t="s">
        <v>160</v>
      </c>
      <c r="F14" s="4" t="s">
        <v>143</v>
      </c>
    </row>
    <row r="15" spans="1:6" x14ac:dyDescent="0.35">
      <c r="A15" s="1" t="s">
        <v>151</v>
      </c>
      <c r="B15" s="1">
        <v>19</v>
      </c>
      <c r="D15" s="1" t="s">
        <v>159</v>
      </c>
      <c r="F15" s="4" t="s">
        <v>143</v>
      </c>
    </row>
    <row r="16" spans="1:6" x14ac:dyDescent="0.35">
      <c r="A16" s="1" t="s">
        <v>151</v>
      </c>
      <c r="B16" s="1">
        <v>22</v>
      </c>
      <c r="D16" s="1" t="s">
        <v>158</v>
      </c>
    </row>
    <row r="18" spans="1:6" x14ac:dyDescent="0.35">
      <c r="A18" s="1" t="s">
        <v>151</v>
      </c>
      <c r="B18" s="1">
        <v>9</v>
      </c>
      <c r="D18" s="1" t="s">
        <v>157</v>
      </c>
      <c r="F18" s="4" t="s">
        <v>143</v>
      </c>
    </row>
    <row r="19" spans="1:6" x14ac:dyDescent="0.35">
      <c r="A19" s="1" t="s">
        <v>151</v>
      </c>
      <c r="B19" s="1">
        <v>10</v>
      </c>
      <c r="D19" s="22" t="s">
        <v>156</v>
      </c>
      <c r="F19" s="4" t="s">
        <v>143</v>
      </c>
    </row>
    <row r="20" spans="1:6" x14ac:dyDescent="0.35">
      <c r="A20" s="1" t="s">
        <v>151</v>
      </c>
      <c r="B20" s="1">
        <v>13</v>
      </c>
      <c r="D20" s="22" t="s">
        <v>155</v>
      </c>
      <c r="F20" s="4" t="s">
        <v>143</v>
      </c>
    </row>
    <row r="21" spans="1:6" x14ac:dyDescent="0.35">
      <c r="A21" s="1" t="s">
        <v>151</v>
      </c>
      <c r="B21" s="1">
        <v>16</v>
      </c>
      <c r="D21" s="21" t="s">
        <v>154</v>
      </c>
      <c r="F21" s="4" t="s">
        <v>143</v>
      </c>
    </row>
    <row r="22" spans="1:6" x14ac:dyDescent="0.35">
      <c r="A22" s="1" t="s">
        <v>151</v>
      </c>
      <c r="B22" s="1">
        <v>17</v>
      </c>
      <c r="D22" s="1" t="s">
        <v>153</v>
      </c>
      <c r="F22" s="4" t="s">
        <v>143</v>
      </c>
    </row>
    <row r="23" spans="1:6" x14ac:dyDescent="0.35">
      <c r="A23" s="1" t="s">
        <v>151</v>
      </c>
      <c r="B23" s="1">
        <v>18</v>
      </c>
      <c r="D23" s="1" t="s">
        <v>152</v>
      </c>
    </row>
    <row r="24" spans="1:6" x14ac:dyDescent="0.35">
      <c r="A24" s="1" t="s">
        <v>151</v>
      </c>
      <c r="B24" s="1">
        <v>21</v>
      </c>
      <c r="D24" s="1" t="s">
        <v>150</v>
      </c>
    </row>
    <row r="26" spans="1:6" x14ac:dyDescent="0.35">
      <c r="A26" s="1" t="s">
        <v>145</v>
      </c>
      <c r="B26" s="1">
        <v>10</v>
      </c>
      <c r="D26" s="21" t="s">
        <v>149</v>
      </c>
      <c r="F26" s="4" t="s">
        <v>143</v>
      </c>
    </row>
    <row r="27" spans="1:6" x14ac:dyDescent="0.35">
      <c r="A27" s="1" t="s">
        <v>145</v>
      </c>
      <c r="B27" s="1">
        <v>12</v>
      </c>
      <c r="D27" s="1" t="s">
        <v>148</v>
      </c>
      <c r="F27" s="4" t="s">
        <v>143</v>
      </c>
    </row>
    <row r="28" spans="1:6" x14ac:dyDescent="0.35">
      <c r="A28" s="1" t="s">
        <v>145</v>
      </c>
      <c r="B28" s="1">
        <v>15</v>
      </c>
      <c r="D28" s="22" t="s">
        <v>147</v>
      </c>
      <c r="F28" s="4" t="s">
        <v>143</v>
      </c>
    </row>
    <row r="29" spans="1:6" x14ac:dyDescent="0.35">
      <c r="A29" s="1" t="s">
        <v>145</v>
      </c>
      <c r="B29" s="1">
        <v>17</v>
      </c>
      <c r="D29" s="22" t="s">
        <v>146</v>
      </c>
      <c r="F29" s="4" t="s">
        <v>143</v>
      </c>
    </row>
    <row r="30" spans="1:6" x14ac:dyDescent="0.35">
      <c r="A30" s="1" t="s">
        <v>145</v>
      </c>
      <c r="B30" s="1">
        <v>18</v>
      </c>
      <c r="D30" s="21" t="s">
        <v>144</v>
      </c>
      <c r="F30" s="4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074EE-C9B5-41EE-9E67-85451DEC3D12}">
  <sheetPr codeName="Sheet4"/>
  <dimension ref="A1:IR70"/>
  <sheetViews>
    <sheetView workbookViewId="0">
      <selection activeCell="H8" sqref="H8"/>
    </sheetView>
  </sheetViews>
  <sheetFormatPr defaultColWidth="9.08984375" defaultRowHeight="13" x14ac:dyDescent="0.3"/>
  <cols>
    <col min="1" max="1" width="3.7265625" style="24" customWidth="1"/>
    <col min="2" max="2" width="25.7265625" style="24" customWidth="1"/>
    <col min="3" max="3" width="3.7265625" style="24" customWidth="1"/>
    <col min="4" max="6" width="16.7265625" style="24" customWidth="1"/>
    <col min="7" max="7" width="17.7265625" style="24" customWidth="1"/>
    <col min="8" max="8" width="19.7265625" style="24" customWidth="1"/>
    <col min="9" max="16384" width="9.08984375" style="24"/>
  </cols>
  <sheetData>
    <row r="1" spans="1:252" ht="15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</row>
    <row r="2" spans="1:252" ht="14.5" x14ac:dyDescent="0.35">
      <c r="A2" s="1"/>
      <c r="B2" s="35"/>
      <c r="C2" s="1"/>
      <c r="D2" s="33"/>
      <c r="E2" s="33"/>
      <c r="F2" s="33"/>
      <c r="G2" s="33"/>
      <c r="H2" s="33"/>
      <c r="I2" s="1"/>
    </row>
    <row r="3" spans="1:252" ht="15" x14ac:dyDescent="0.4">
      <c r="A3" s="1"/>
      <c r="B3" s="1"/>
      <c r="C3" s="1"/>
      <c r="D3" s="32"/>
      <c r="E3" s="32"/>
      <c r="F3" s="32"/>
      <c r="G3" s="32"/>
      <c r="H3" s="32"/>
      <c r="I3" s="1"/>
      <c r="J3" s="1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</row>
    <row r="4" spans="1:252" ht="15" x14ac:dyDescent="0.4">
      <c r="A4" s="1"/>
      <c r="B4" s="36"/>
      <c r="C4" s="1"/>
      <c r="D4" s="25"/>
      <c r="E4" s="25"/>
      <c r="F4" s="25"/>
      <c r="G4" s="25"/>
      <c r="H4" s="25"/>
      <c r="I4" s="1"/>
      <c r="J4" s="1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</row>
    <row r="5" spans="1:252" ht="15" x14ac:dyDescent="0.4">
      <c r="A5" s="1"/>
      <c r="B5" s="36"/>
      <c r="C5" s="1"/>
      <c r="D5" s="25"/>
      <c r="E5" s="25"/>
      <c r="F5" s="25"/>
      <c r="G5" s="25"/>
      <c r="H5" s="25"/>
      <c r="I5" s="1"/>
      <c r="J5" s="1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29"/>
      <c r="FL5" s="2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29"/>
      <c r="GF5" s="2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  <c r="GZ5" s="29"/>
      <c r="HA5" s="29"/>
      <c r="HB5" s="29"/>
      <c r="HC5" s="29"/>
      <c r="HD5" s="29"/>
      <c r="HE5" s="29"/>
      <c r="HF5" s="29"/>
      <c r="HG5" s="29"/>
      <c r="HH5" s="29"/>
      <c r="HI5" s="29"/>
      <c r="HJ5" s="29"/>
      <c r="HK5" s="29"/>
      <c r="HL5" s="29"/>
      <c r="HM5" s="29"/>
      <c r="HN5" s="29"/>
      <c r="HO5" s="29"/>
      <c r="HP5" s="29"/>
      <c r="HQ5" s="29"/>
      <c r="HR5" s="29"/>
      <c r="HS5" s="29"/>
      <c r="HT5" s="29"/>
      <c r="HU5" s="29"/>
      <c r="HV5" s="29"/>
      <c r="HW5" s="29"/>
      <c r="HX5" s="29"/>
      <c r="HY5" s="29"/>
      <c r="HZ5" s="29"/>
      <c r="IA5" s="29"/>
      <c r="IB5" s="29"/>
      <c r="IC5" s="29"/>
      <c r="ID5" s="29"/>
      <c r="IE5" s="29"/>
      <c r="IF5" s="29"/>
      <c r="IG5" s="29"/>
      <c r="IH5" s="29"/>
      <c r="II5" s="29"/>
      <c r="IJ5" s="29"/>
      <c r="IK5" s="29"/>
      <c r="IL5" s="29"/>
      <c r="IM5" s="29"/>
      <c r="IN5" s="29"/>
      <c r="IO5" s="29"/>
      <c r="IP5" s="29"/>
      <c r="IQ5" s="29"/>
      <c r="IR5" s="29"/>
    </row>
    <row r="6" spans="1:252" ht="15" x14ac:dyDescent="0.4">
      <c r="A6" s="1"/>
      <c r="B6" s="36"/>
      <c r="C6" s="1"/>
      <c r="D6" s="25"/>
      <c r="E6" s="25"/>
      <c r="F6" s="25"/>
      <c r="G6" s="25"/>
      <c r="H6" s="25"/>
      <c r="I6" s="1"/>
      <c r="J6" s="1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</row>
    <row r="7" spans="1:252" s="30" customFormat="1" ht="14.5" x14ac:dyDescent="0.35">
      <c r="A7" s="24"/>
      <c r="B7" s="37"/>
      <c r="C7" s="27"/>
      <c r="D7" s="26"/>
      <c r="E7" s="26"/>
      <c r="F7" s="26"/>
      <c r="G7" s="26"/>
      <c r="H7" s="26"/>
      <c r="I7" s="24"/>
      <c r="J7" s="24"/>
      <c r="K7" s="24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</row>
    <row r="8" spans="1:252" ht="15" x14ac:dyDescent="0.4">
      <c r="A8" s="1"/>
      <c r="B8" s="36"/>
      <c r="C8" s="1"/>
      <c r="D8" s="25"/>
      <c r="E8" s="25"/>
      <c r="F8" s="25"/>
      <c r="G8" s="25"/>
      <c r="H8" s="25"/>
      <c r="I8" s="1"/>
      <c r="J8" s="1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</row>
    <row r="9" spans="1:252" ht="15" x14ac:dyDescent="0.4">
      <c r="A9" s="1"/>
      <c r="B9" s="36"/>
      <c r="C9" s="1"/>
      <c r="D9" s="25"/>
      <c r="E9" s="25"/>
      <c r="F9" s="25"/>
      <c r="G9" s="25"/>
      <c r="H9" s="25"/>
      <c r="I9" s="1"/>
      <c r="J9" s="1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29"/>
      <c r="FL9" s="2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29"/>
      <c r="HU9" s="29"/>
      <c r="HV9" s="29"/>
      <c r="HW9" s="29"/>
      <c r="HX9" s="29"/>
      <c r="HY9" s="29"/>
      <c r="HZ9" s="29"/>
      <c r="IA9" s="29"/>
      <c r="IB9" s="29"/>
      <c r="IC9" s="29"/>
      <c r="ID9" s="29"/>
      <c r="IE9" s="29"/>
      <c r="IF9" s="29"/>
      <c r="IG9" s="29"/>
      <c r="IH9" s="29"/>
      <c r="II9" s="29"/>
      <c r="IJ9" s="29"/>
      <c r="IK9" s="29"/>
      <c r="IL9" s="29"/>
      <c r="IM9" s="29"/>
      <c r="IN9" s="29"/>
      <c r="IO9" s="29"/>
      <c r="IP9" s="29"/>
      <c r="IQ9" s="29"/>
      <c r="IR9" s="29"/>
    </row>
    <row r="10" spans="1:252" s="30" customFormat="1" ht="14.5" x14ac:dyDescent="0.35">
      <c r="A10" s="24"/>
      <c r="B10" s="37"/>
      <c r="C10" s="27"/>
      <c r="D10" s="26"/>
      <c r="E10" s="26"/>
      <c r="F10" s="26"/>
      <c r="G10" s="26"/>
      <c r="H10" s="26"/>
      <c r="I10" s="24"/>
      <c r="J10" s="24"/>
      <c r="K10" s="24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</row>
    <row r="11" spans="1:252" ht="15" x14ac:dyDescent="0.4">
      <c r="A11" s="1"/>
      <c r="B11" s="36"/>
      <c r="C11" s="1"/>
      <c r="D11" s="25"/>
      <c r="E11" s="25"/>
      <c r="F11" s="25"/>
      <c r="G11" s="25"/>
      <c r="H11" s="25"/>
      <c r="I11" s="1"/>
      <c r="J11" s="1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</row>
    <row r="12" spans="1:252" ht="15" x14ac:dyDescent="0.4">
      <c r="A12" s="1"/>
      <c r="B12" s="36"/>
      <c r="C12" s="1"/>
      <c r="D12" s="25"/>
      <c r="E12" s="25"/>
      <c r="F12" s="25"/>
      <c r="G12" s="25"/>
      <c r="H12" s="25"/>
      <c r="I12" s="1"/>
      <c r="J12" s="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</row>
    <row r="13" spans="1:252" ht="15" x14ac:dyDescent="0.4">
      <c r="A13" s="1"/>
      <c r="B13" s="36"/>
      <c r="C13" s="1"/>
      <c r="D13" s="25"/>
      <c r="E13" s="25"/>
      <c r="F13" s="25"/>
      <c r="G13" s="25"/>
      <c r="H13" s="25"/>
      <c r="I13" s="1"/>
      <c r="J13" s="1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</row>
    <row r="14" spans="1:252" s="30" customFormat="1" ht="14.5" x14ac:dyDescent="0.35">
      <c r="A14" s="24"/>
      <c r="B14" s="36"/>
      <c r="C14" s="1"/>
      <c r="D14" s="25"/>
      <c r="E14" s="25"/>
      <c r="F14" s="25"/>
      <c r="G14" s="25"/>
      <c r="H14" s="25"/>
      <c r="I14" s="24"/>
      <c r="J14" s="24"/>
      <c r="K14" s="24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</row>
    <row r="15" spans="1:252" ht="15" x14ac:dyDescent="0.4">
      <c r="A15" s="1"/>
      <c r="B15" s="37"/>
      <c r="C15" s="27"/>
      <c r="D15" s="26"/>
      <c r="E15" s="26"/>
      <c r="F15" s="26"/>
      <c r="G15" s="26"/>
      <c r="H15" s="26"/>
      <c r="I15" s="1"/>
      <c r="J15" s="1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</row>
    <row r="16" spans="1:252" ht="15" x14ac:dyDescent="0.4">
      <c r="A16" s="1"/>
      <c r="B16" s="36"/>
      <c r="C16" s="1"/>
      <c r="D16" s="25"/>
      <c r="E16" s="25"/>
      <c r="F16" s="25"/>
      <c r="G16" s="25"/>
      <c r="H16" s="25"/>
      <c r="I16" s="1"/>
      <c r="J16" s="1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</row>
    <row r="17" spans="1:252" ht="15" x14ac:dyDescent="0.4">
      <c r="A17" s="1"/>
      <c r="B17" s="36"/>
      <c r="C17" s="1"/>
      <c r="D17" s="25"/>
      <c r="E17" s="25"/>
      <c r="F17" s="25"/>
      <c r="G17" s="25"/>
      <c r="H17" s="25"/>
      <c r="I17" s="1"/>
      <c r="J17" s="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</row>
    <row r="18" spans="1:252" ht="15" x14ac:dyDescent="0.4">
      <c r="A18" s="1"/>
      <c r="B18" s="37"/>
      <c r="C18" s="27"/>
      <c r="D18" s="26"/>
      <c r="E18" s="26"/>
      <c r="F18" s="26"/>
      <c r="G18" s="26"/>
      <c r="H18" s="26"/>
      <c r="I18" s="1"/>
      <c r="J18" s="1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</row>
    <row r="19" spans="1:252" ht="15" x14ac:dyDescent="0.4">
      <c r="A19" s="1"/>
      <c r="B19" s="36"/>
      <c r="C19" s="1"/>
      <c r="D19" s="25"/>
      <c r="E19" s="25"/>
      <c r="F19" s="25"/>
      <c r="G19" s="25"/>
      <c r="H19" s="25"/>
      <c r="I19" s="1"/>
      <c r="J19" s="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</row>
    <row r="20" spans="1:252" ht="15" x14ac:dyDescent="0.4">
      <c r="A20" s="1"/>
      <c r="B20" s="1"/>
      <c r="C20" s="1"/>
      <c r="D20" s="32"/>
      <c r="E20" s="32"/>
      <c r="F20" s="32"/>
      <c r="G20" s="32"/>
      <c r="H20" s="32"/>
      <c r="I20" s="1"/>
      <c r="J20" s="1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</row>
    <row r="21" spans="1:252" s="30" customFormat="1" ht="14.5" x14ac:dyDescent="0.35">
      <c r="A21" s="31"/>
      <c r="B21" s="35"/>
      <c r="C21" s="1"/>
      <c r="D21" s="33"/>
      <c r="E21" s="33"/>
      <c r="F21" s="33"/>
      <c r="G21" s="33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</row>
    <row r="22" spans="1:252" ht="15" x14ac:dyDescent="0.4">
      <c r="A22" s="1"/>
      <c r="B22" s="1"/>
      <c r="C22" s="1"/>
      <c r="D22" s="32"/>
      <c r="E22" s="32"/>
      <c r="F22" s="32"/>
      <c r="G22" s="32"/>
      <c r="H22" s="32"/>
      <c r="I22" s="1"/>
      <c r="J22" s="1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</row>
    <row r="23" spans="1:252" ht="15" x14ac:dyDescent="0.4">
      <c r="A23" s="1"/>
      <c r="C23" s="1"/>
      <c r="D23" s="25"/>
      <c r="E23" s="25"/>
      <c r="F23" s="25"/>
      <c r="G23" s="25"/>
      <c r="H23" s="25"/>
      <c r="I23" s="1"/>
      <c r="J23" s="1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</row>
    <row r="24" spans="1:252" ht="15" x14ac:dyDescent="0.4">
      <c r="A24" s="1"/>
      <c r="C24" s="1"/>
      <c r="D24" s="25"/>
      <c r="E24" s="25"/>
      <c r="F24" s="25"/>
      <c r="G24" s="25"/>
      <c r="H24" s="25"/>
      <c r="I24" s="1"/>
      <c r="J24" s="1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</row>
    <row r="25" spans="1:252" ht="15" x14ac:dyDescent="0.4">
      <c r="A25" s="1"/>
      <c r="C25" s="1"/>
      <c r="D25" s="25"/>
      <c r="E25" s="25"/>
      <c r="F25" s="25"/>
      <c r="G25" s="25"/>
      <c r="H25" s="25"/>
      <c r="I25" s="1"/>
      <c r="J25" s="1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</row>
    <row r="26" spans="1:252" s="30" customFormat="1" ht="14.5" x14ac:dyDescent="0.35">
      <c r="A26" s="24"/>
      <c r="B26" s="24"/>
      <c r="C26" s="1"/>
      <c r="D26" s="25"/>
      <c r="E26" s="25"/>
      <c r="F26" s="25"/>
      <c r="G26" s="25"/>
      <c r="H26" s="25"/>
      <c r="I26" s="24"/>
      <c r="J26" s="24"/>
      <c r="K26" s="24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</row>
    <row r="27" spans="1:252" ht="15" x14ac:dyDescent="0.4">
      <c r="A27" s="1"/>
      <c r="B27" s="28"/>
      <c r="C27" s="27"/>
      <c r="D27" s="26"/>
      <c r="E27" s="26"/>
      <c r="F27" s="26"/>
      <c r="G27" s="26"/>
      <c r="H27" s="26"/>
      <c r="I27" s="1"/>
      <c r="J27" s="1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</row>
    <row r="28" spans="1:252" ht="15" x14ac:dyDescent="0.4">
      <c r="A28" s="1"/>
      <c r="B28" s="1"/>
      <c r="C28" s="1"/>
      <c r="D28" s="25"/>
      <c r="E28" s="25"/>
      <c r="F28" s="25"/>
      <c r="G28" s="25"/>
      <c r="H28" s="25"/>
      <c r="I28" s="1"/>
      <c r="J28" s="1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</row>
    <row r="29" spans="1:252" ht="15" x14ac:dyDescent="0.4">
      <c r="A29" s="1"/>
      <c r="C29" s="1"/>
      <c r="D29" s="25"/>
      <c r="E29" s="25"/>
      <c r="F29" s="25"/>
      <c r="G29" s="25"/>
      <c r="H29" s="25"/>
      <c r="I29" s="1"/>
      <c r="J29" s="1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</row>
    <row r="30" spans="1:252" ht="15" x14ac:dyDescent="0.4">
      <c r="A30" s="1"/>
      <c r="C30" s="1"/>
      <c r="D30" s="25"/>
      <c r="E30" s="25"/>
      <c r="F30" s="25"/>
      <c r="G30" s="25"/>
      <c r="H30" s="25"/>
      <c r="I30" s="1"/>
      <c r="J30" s="1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</row>
    <row r="31" spans="1:252" ht="15" x14ac:dyDescent="0.4">
      <c r="A31" s="1"/>
      <c r="C31" s="1"/>
      <c r="D31" s="25"/>
      <c r="E31" s="25"/>
      <c r="F31" s="25"/>
      <c r="G31" s="25"/>
      <c r="H31" s="25"/>
      <c r="I31" s="1"/>
      <c r="J31" s="1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</row>
    <row r="32" spans="1:252" s="30" customFormat="1" ht="14.5" x14ac:dyDescent="0.35">
      <c r="A32" s="24"/>
      <c r="B32" s="24"/>
      <c r="C32" s="1"/>
      <c r="D32" s="25"/>
      <c r="E32" s="25"/>
      <c r="F32" s="25"/>
      <c r="G32" s="25"/>
      <c r="H32" s="25"/>
      <c r="I32" s="24"/>
      <c r="J32" s="24"/>
      <c r="K32" s="24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</row>
    <row r="33" spans="1:252" ht="15" x14ac:dyDescent="0.4">
      <c r="A33" s="1"/>
      <c r="C33" s="1"/>
      <c r="D33" s="25"/>
      <c r="E33" s="25"/>
      <c r="F33" s="25"/>
      <c r="G33" s="25"/>
      <c r="H33" s="25"/>
      <c r="I33" s="1"/>
      <c r="J33" s="1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</row>
    <row r="34" spans="1:252" s="30" customFormat="1" ht="14.5" x14ac:dyDescent="0.35">
      <c r="A34" s="24"/>
      <c r="B34" s="24"/>
      <c r="C34" s="1"/>
      <c r="D34" s="25"/>
      <c r="E34" s="25"/>
      <c r="F34" s="25"/>
      <c r="G34" s="25"/>
      <c r="H34" s="25"/>
      <c r="I34" s="24"/>
      <c r="J34" s="24"/>
      <c r="K34" s="24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</row>
    <row r="35" spans="1:252" ht="15" x14ac:dyDescent="0.4">
      <c r="A35" s="1"/>
      <c r="C35" s="1"/>
      <c r="D35" s="25"/>
      <c r="E35" s="25"/>
      <c r="F35" s="25"/>
      <c r="G35" s="25"/>
      <c r="H35" s="25"/>
      <c r="I35" s="1"/>
      <c r="J35" s="1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29"/>
      <c r="FL35" s="2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</row>
    <row r="36" spans="1:252" ht="15" x14ac:dyDescent="0.4">
      <c r="A36" s="1"/>
      <c r="B36" s="28"/>
      <c r="C36" s="27"/>
      <c r="D36" s="26"/>
      <c r="E36" s="26"/>
      <c r="F36" s="26"/>
      <c r="G36" s="26"/>
      <c r="H36" s="26"/>
      <c r="I36" s="1"/>
      <c r="J36" s="1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29"/>
      <c r="FL36" s="2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</row>
    <row r="37" spans="1:252" ht="15" x14ac:dyDescent="0.4">
      <c r="A37" s="1"/>
      <c r="B37" s="1"/>
      <c r="C37" s="1"/>
      <c r="D37" s="25"/>
      <c r="E37" s="25"/>
      <c r="F37" s="25"/>
      <c r="G37" s="25"/>
      <c r="H37" s="25"/>
      <c r="I37" s="1"/>
      <c r="J37" s="1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29"/>
      <c r="FJ37" s="29"/>
      <c r="FK37" s="29"/>
      <c r="FL37" s="29"/>
      <c r="FM37" s="29"/>
      <c r="FN37" s="29"/>
      <c r="FO37" s="29"/>
      <c r="FP37" s="29"/>
      <c r="FQ37" s="29"/>
      <c r="FR37" s="29"/>
      <c r="FS37" s="29"/>
      <c r="FT37" s="29"/>
      <c r="FU37" s="29"/>
      <c r="FV37" s="29"/>
      <c r="FW37" s="29"/>
      <c r="FX37" s="2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</row>
    <row r="38" spans="1:252" s="30" customFormat="1" ht="14.5" x14ac:dyDescent="0.35">
      <c r="A38" s="24"/>
      <c r="B38" s="28"/>
      <c r="C38" s="27"/>
      <c r="D38" s="26"/>
      <c r="E38" s="26"/>
      <c r="F38" s="26"/>
      <c r="G38" s="26"/>
      <c r="H38" s="26"/>
      <c r="I38" s="24"/>
      <c r="J38" s="24"/>
      <c r="K38" s="24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</row>
    <row r="39" spans="1:252" ht="15" x14ac:dyDescent="0.4">
      <c r="A39" s="1"/>
      <c r="B39" s="1"/>
      <c r="C39" s="1"/>
      <c r="D39" s="25"/>
      <c r="E39" s="25"/>
      <c r="F39" s="25"/>
      <c r="G39" s="25"/>
      <c r="H39" s="25"/>
      <c r="I39" s="1"/>
      <c r="J39" s="1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29"/>
      <c r="FL39" s="2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</row>
    <row r="40" spans="1:252" ht="15" x14ac:dyDescent="0.4">
      <c r="A40" s="1"/>
      <c r="C40" s="1"/>
      <c r="D40" s="25"/>
      <c r="E40" s="25"/>
      <c r="F40" s="25"/>
      <c r="G40" s="25"/>
      <c r="H40" s="25"/>
      <c r="I40" s="1"/>
      <c r="J40" s="1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</row>
    <row r="41" spans="1:252" ht="15" x14ac:dyDescent="0.4">
      <c r="A41" s="1"/>
      <c r="C41" s="1"/>
      <c r="D41" s="25"/>
      <c r="E41" s="25"/>
      <c r="F41" s="25"/>
      <c r="G41" s="25"/>
      <c r="H41" s="25"/>
      <c r="I41" s="1"/>
      <c r="J41" s="1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29"/>
      <c r="FL41" s="2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</row>
    <row r="42" spans="1:252" ht="15" x14ac:dyDescent="0.4">
      <c r="A42" s="1"/>
      <c r="B42" s="28"/>
      <c r="C42" s="27"/>
      <c r="D42" s="26"/>
      <c r="E42" s="26"/>
      <c r="F42" s="26"/>
      <c r="G42" s="26"/>
      <c r="H42" s="26"/>
      <c r="I42" s="1"/>
      <c r="J42" s="1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</row>
    <row r="43" spans="1:252" ht="15" x14ac:dyDescent="0.4">
      <c r="A43" s="1"/>
      <c r="B43" s="1"/>
      <c r="C43" s="1"/>
      <c r="D43" s="25"/>
      <c r="E43" s="25"/>
      <c r="F43" s="25"/>
      <c r="G43" s="25"/>
      <c r="H43" s="25"/>
      <c r="I43" s="1"/>
      <c r="J43" s="1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</row>
    <row r="44" spans="1:252" ht="15" x14ac:dyDescent="0.4">
      <c r="A44" s="1"/>
      <c r="B44" s="1"/>
      <c r="C44" s="1"/>
      <c r="D44" s="32"/>
      <c r="E44" s="32"/>
      <c r="F44" s="32"/>
      <c r="G44" s="32"/>
      <c r="H44" s="32"/>
      <c r="I44" s="1"/>
      <c r="J44" s="1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</row>
    <row r="45" spans="1:252" s="30" customFormat="1" ht="14.5" x14ac:dyDescent="0.35">
      <c r="A45" s="31"/>
      <c r="B45" s="35"/>
      <c r="C45" s="34"/>
      <c r="D45" s="33"/>
      <c r="E45" s="33"/>
      <c r="F45" s="33"/>
      <c r="G45" s="33"/>
      <c r="H45" s="33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</row>
    <row r="46" spans="1:252" ht="15" x14ac:dyDescent="0.4">
      <c r="A46" s="1"/>
      <c r="B46" s="1"/>
      <c r="C46" s="1"/>
      <c r="D46" s="32"/>
      <c r="E46" s="32"/>
      <c r="F46" s="32"/>
      <c r="G46" s="32"/>
      <c r="H46" s="32"/>
      <c r="I46" s="1"/>
      <c r="J46" s="1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</row>
    <row r="47" spans="1:252" ht="15" x14ac:dyDescent="0.4">
      <c r="A47" s="1"/>
      <c r="C47" s="1"/>
      <c r="D47" s="25"/>
      <c r="E47" s="25"/>
      <c r="F47" s="25"/>
      <c r="G47" s="25"/>
      <c r="H47" s="25"/>
      <c r="I47" s="1"/>
      <c r="J47" s="1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</row>
    <row r="48" spans="1:252" ht="15" x14ac:dyDescent="0.4">
      <c r="A48" s="1"/>
      <c r="C48" s="1"/>
      <c r="D48" s="25"/>
      <c r="E48" s="25"/>
      <c r="F48" s="25"/>
      <c r="G48" s="25"/>
      <c r="H48" s="25"/>
      <c r="I48" s="1"/>
      <c r="J48" s="1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</row>
    <row r="49" spans="1:252" s="30" customFormat="1" ht="14.5" x14ac:dyDescent="0.35">
      <c r="A49" s="24"/>
      <c r="B49" s="24"/>
      <c r="C49" s="1"/>
      <c r="D49" s="25"/>
      <c r="E49" s="25"/>
      <c r="F49" s="25"/>
      <c r="G49" s="25"/>
      <c r="H49" s="25"/>
      <c r="I49" s="24"/>
      <c r="J49" s="24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</row>
    <row r="50" spans="1:252" ht="15" x14ac:dyDescent="0.4">
      <c r="A50" s="1"/>
      <c r="C50" s="1"/>
      <c r="D50" s="25"/>
      <c r="E50" s="25"/>
      <c r="F50" s="25"/>
      <c r="G50" s="25"/>
      <c r="H50" s="25"/>
      <c r="I50" s="1"/>
      <c r="J50" s="1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</row>
    <row r="51" spans="1:252" ht="15" x14ac:dyDescent="0.4">
      <c r="A51" s="1"/>
      <c r="B51" s="28"/>
      <c r="C51" s="27"/>
      <c r="D51" s="26"/>
      <c r="E51" s="26"/>
      <c r="F51" s="26"/>
      <c r="G51" s="26"/>
      <c r="H51" s="26"/>
      <c r="I51" s="1"/>
      <c r="J51" s="1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29"/>
      <c r="FL51" s="2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29"/>
      <c r="GF51" s="2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29"/>
      <c r="IK51" s="29"/>
      <c r="IL51" s="29"/>
      <c r="IM51" s="29"/>
      <c r="IN51" s="29"/>
      <c r="IO51" s="29"/>
      <c r="IP51" s="29"/>
      <c r="IQ51" s="29"/>
      <c r="IR51" s="29"/>
    </row>
    <row r="52" spans="1:252" s="30" customFormat="1" ht="14.5" x14ac:dyDescent="0.35">
      <c r="A52" s="24"/>
      <c r="B52" s="24"/>
      <c r="C52" s="1"/>
      <c r="D52" s="25"/>
      <c r="E52" s="25"/>
      <c r="F52" s="25"/>
      <c r="G52" s="25"/>
      <c r="H52" s="25"/>
      <c r="I52" s="24"/>
      <c r="J52" s="24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</row>
    <row r="53" spans="1:252" ht="15" x14ac:dyDescent="0.4">
      <c r="A53" s="1"/>
      <c r="C53" s="1"/>
      <c r="D53" s="25"/>
      <c r="E53" s="25"/>
      <c r="F53" s="25"/>
      <c r="G53" s="25"/>
      <c r="H53" s="25"/>
      <c r="I53" s="1"/>
      <c r="J53" s="1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29"/>
      <c r="FL53" s="2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29"/>
      <c r="IK53" s="29"/>
      <c r="IL53" s="29"/>
      <c r="IM53" s="29"/>
      <c r="IN53" s="29"/>
      <c r="IO53" s="29"/>
      <c r="IP53" s="29"/>
      <c r="IQ53" s="29"/>
      <c r="IR53" s="29"/>
    </row>
    <row r="54" spans="1:252" ht="15" x14ac:dyDescent="0.4">
      <c r="A54" s="1"/>
      <c r="B54" s="28"/>
      <c r="C54" s="27"/>
      <c r="D54" s="26"/>
      <c r="E54" s="26"/>
      <c r="F54" s="26"/>
      <c r="G54" s="26"/>
      <c r="H54" s="26"/>
      <c r="I54" s="1"/>
      <c r="J54" s="1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29"/>
      <c r="FL54" s="2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29"/>
      <c r="IK54" s="29"/>
      <c r="IL54" s="29"/>
      <c r="IM54" s="29"/>
      <c r="IN54" s="29"/>
      <c r="IO54" s="29"/>
      <c r="IP54" s="29"/>
      <c r="IQ54" s="29"/>
      <c r="IR54" s="29"/>
    </row>
    <row r="55" spans="1:252" ht="15" x14ac:dyDescent="0.4">
      <c r="A55" s="1"/>
      <c r="B55" s="1"/>
      <c r="C55" s="1"/>
      <c r="D55" s="25"/>
      <c r="E55" s="25"/>
      <c r="F55" s="25"/>
      <c r="G55" s="25"/>
      <c r="H55" s="25"/>
      <c r="I55" s="1"/>
      <c r="J55" s="1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29"/>
      <c r="FJ55" s="29"/>
      <c r="FK55" s="29"/>
      <c r="FL55" s="29"/>
      <c r="FM55" s="29"/>
      <c r="FN55" s="29"/>
      <c r="FO55" s="29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29"/>
      <c r="IO55" s="29"/>
      <c r="IP55" s="29"/>
      <c r="IQ55" s="29"/>
      <c r="IR55" s="29"/>
    </row>
    <row r="56" spans="1:252" ht="15" x14ac:dyDescent="0.4">
      <c r="A56" s="1"/>
      <c r="C56" s="1"/>
      <c r="D56" s="25"/>
      <c r="E56" s="25"/>
      <c r="F56" s="25"/>
      <c r="G56" s="25"/>
      <c r="H56" s="25"/>
      <c r="I56" s="1"/>
      <c r="J56" s="1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29"/>
      <c r="FL56" s="2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29"/>
      <c r="GF56" s="2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29"/>
      <c r="IK56" s="29"/>
      <c r="IL56" s="29"/>
      <c r="IM56" s="29"/>
      <c r="IN56" s="29"/>
      <c r="IO56" s="29"/>
      <c r="IP56" s="29"/>
      <c r="IQ56" s="29"/>
      <c r="IR56" s="29"/>
    </row>
    <row r="57" spans="1:252" ht="15" x14ac:dyDescent="0.4">
      <c r="A57" s="1"/>
      <c r="C57" s="1"/>
      <c r="D57" s="25"/>
      <c r="E57" s="25"/>
      <c r="F57" s="25"/>
      <c r="G57" s="25"/>
      <c r="H57" s="25"/>
      <c r="I57" s="1"/>
      <c r="J57" s="1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</row>
    <row r="58" spans="1:252" ht="15" x14ac:dyDescent="0.4">
      <c r="A58" s="1"/>
      <c r="C58" s="1"/>
      <c r="D58" s="25"/>
      <c r="E58" s="25"/>
      <c r="F58" s="25"/>
      <c r="G58" s="25"/>
      <c r="H58" s="25"/>
      <c r="I58" s="1"/>
      <c r="J58" s="1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</row>
    <row r="59" spans="1:252" ht="15" x14ac:dyDescent="0.4">
      <c r="A59" s="1"/>
      <c r="C59" s="1"/>
      <c r="D59" s="25"/>
      <c r="E59" s="25"/>
      <c r="F59" s="25"/>
      <c r="G59" s="25"/>
      <c r="H59" s="25"/>
      <c r="I59" s="1"/>
      <c r="J59" s="1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</row>
    <row r="60" spans="1:252" s="30" customFormat="1" ht="14.5" x14ac:dyDescent="0.35">
      <c r="A60" s="24"/>
      <c r="B60" s="24"/>
      <c r="C60" s="1"/>
      <c r="D60" s="25"/>
      <c r="E60" s="25"/>
      <c r="F60" s="25"/>
      <c r="G60" s="25"/>
      <c r="H60" s="25"/>
      <c r="I60" s="24"/>
      <c r="J60" s="24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</row>
    <row r="61" spans="1:252" ht="15" x14ac:dyDescent="0.4">
      <c r="A61" s="1"/>
      <c r="C61" s="1"/>
      <c r="D61" s="25"/>
      <c r="E61" s="25"/>
      <c r="F61" s="25"/>
      <c r="G61" s="25"/>
      <c r="H61" s="25"/>
      <c r="I61" s="1"/>
      <c r="J61" s="1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</row>
    <row r="62" spans="1:252" ht="15" x14ac:dyDescent="0.4">
      <c r="A62" s="1"/>
      <c r="C62" s="1"/>
      <c r="D62" s="25"/>
      <c r="E62" s="25"/>
      <c r="F62" s="25"/>
      <c r="G62" s="25"/>
      <c r="H62" s="25"/>
      <c r="I62" s="1"/>
      <c r="J62" s="1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</row>
    <row r="63" spans="1:252" s="30" customFormat="1" ht="14.5" x14ac:dyDescent="0.35">
      <c r="A63" s="24"/>
      <c r="B63" s="24"/>
      <c r="C63" s="1"/>
      <c r="D63" s="25"/>
      <c r="E63" s="25"/>
      <c r="F63" s="25"/>
      <c r="G63" s="25"/>
      <c r="H63" s="25"/>
      <c r="I63" s="24"/>
      <c r="J63" s="24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</row>
    <row r="64" spans="1:252" ht="15" x14ac:dyDescent="0.4">
      <c r="A64" s="1"/>
      <c r="C64" s="1"/>
      <c r="D64" s="25"/>
      <c r="E64" s="25"/>
      <c r="F64" s="25"/>
      <c r="G64" s="25"/>
      <c r="H64" s="25"/>
      <c r="I64" s="1"/>
      <c r="J64" s="1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29"/>
      <c r="FJ64" s="29"/>
      <c r="FK64" s="29"/>
      <c r="FL64" s="29"/>
      <c r="FM64" s="29"/>
      <c r="FN64" s="29"/>
      <c r="FO64" s="29"/>
      <c r="FP64" s="29"/>
      <c r="FQ64" s="29"/>
      <c r="FR64" s="29"/>
      <c r="FS64" s="29"/>
      <c r="FT64" s="29"/>
      <c r="FU64" s="29"/>
      <c r="FV64" s="29"/>
      <c r="FW64" s="29"/>
      <c r="FX64" s="29"/>
      <c r="FY64" s="29"/>
      <c r="FZ64" s="29"/>
      <c r="GA64" s="29"/>
      <c r="GB64" s="29"/>
      <c r="GC64" s="29"/>
      <c r="GD64" s="29"/>
      <c r="GE64" s="29"/>
      <c r="GF64" s="29"/>
      <c r="GG64" s="29"/>
      <c r="GH64" s="29"/>
      <c r="GI64" s="29"/>
      <c r="GJ64" s="29"/>
      <c r="GK64" s="29"/>
      <c r="GL64" s="29"/>
      <c r="GM64" s="29"/>
      <c r="GN64" s="29"/>
      <c r="GO64" s="29"/>
      <c r="GP64" s="29"/>
      <c r="GQ64" s="29"/>
      <c r="GR64" s="29"/>
      <c r="GS64" s="29"/>
      <c r="GT64" s="29"/>
      <c r="GU64" s="29"/>
      <c r="GV64" s="29"/>
      <c r="GW64" s="29"/>
      <c r="GX64" s="29"/>
      <c r="GY64" s="29"/>
      <c r="GZ64" s="29"/>
      <c r="HA64" s="29"/>
      <c r="HB64" s="29"/>
      <c r="HC64" s="29"/>
      <c r="HD64" s="29"/>
      <c r="HE64" s="29"/>
      <c r="HF64" s="29"/>
      <c r="HG64" s="29"/>
      <c r="HH64" s="29"/>
      <c r="HI64" s="29"/>
      <c r="HJ64" s="29"/>
      <c r="HK64" s="29"/>
      <c r="HL64" s="29"/>
      <c r="HM64" s="29"/>
      <c r="HN64" s="29"/>
      <c r="HO64" s="29"/>
      <c r="HP64" s="29"/>
      <c r="HQ64" s="29"/>
      <c r="HR64" s="29"/>
      <c r="HS64" s="29"/>
      <c r="HT64" s="29"/>
      <c r="HU64" s="29"/>
      <c r="HV64" s="29"/>
      <c r="HW64" s="29"/>
      <c r="HX64" s="29"/>
      <c r="HY64" s="29"/>
      <c r="HZ64" s="29"/>
      <c r="IA64" s="29"/>
      <c r="IB64" s="29"/>
      <c r="IC64" s="29"/>
      <c r="ID64" s="29"/>
      <c r="IE64" s="29"/>
      <c r="IF64" s="29"/>
      <c r="IG64" s="29"/>
      <c r="IH64" s="29"/>
      <c r="II64" s="29"/>
      <c r="IJ64" s="29"/>
      <c r="IK64" s="29"/>
      <c r="IL64" s="29"/>
      <c r="IM64" s="29"/>
      <c r="IN64" s="29"/>
      <c r="IO64" s="29"/>
      <c r="IP64" s="29"/>
      <c r="IQ64" s="29"/>
      <c r="IR64" s="29"/>
    </row>
    <row r="65" spans="2:8" ht="14.5" x14ac:dyDescent="0.35">
      <c r="B65" s="28"/>
      <c r="C65" s="27"/>
      <c r="D65" s="26"/>
      <c r="E65" s="26"/>
      <c r="F65" s="26"/>
      <c r="G65" s="26"/>
      <c r="H65" s="26"/>
    </row>
    <row r="66" spans="2:8" ht="14.5" x14ac:dyDescent="0.35">
      <c r="C66" s="1"/>
      <c r="D66" s="25"/>
      <c r="E66" s="25"/>
      <c r="F66" s="25"/>
      <c r="G66" s="25"/>
      <c r="H66" s="25"/>
    </row>
    <row r="67" spans="2:8" ht="14.5" x14ac:dyDescent="0.35">
      <c r="C67" s="1"/>
      <c r="D67" s="25"/>
      <c r="E67" s="25"/>
      <c r="F67" s="25"/>
      <c r="G67" s="25"/>
      <c r="H67" s="25"/>
    </row>
    <row r="68" spans="2:8" ht="14.5" x14ac:dyDescent="0.35">
      <c r="B68" s="28"/>
      <c r="C68" s="27"/>
      <c r="D68" s="26"/>
      <c r="E68" s="26"/>
      <c r="F68" s="26"/>
      <c r="G68" s="26"/>
      <c r="H68" s="26"/>
    </row>
    <row r="69" spans="2:8" ht="14.5" x14ac:dyDescent="0.35">
      <c r="C69" s="1"/>
      <c r="D69" s="25"/>
      <c r="E69" s="25"/>
      <c r="F69" s="25"/>
      <c r="G69" s="25"/>
      <c r="H69" s="25"/>
    </row>
    <row r="70" spans="2:8" ht="14.5" x14ac:dyDescent="0.35">
      <c r="C70" s="1"/>
      <c r="D70" s="25"/>
      <c r="E70" s="25"/>
      <c r="F70" s="25"/>
      <c r="G70" s="25"/>
      <c r="H70" s="2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A47B-91B1-4D90-893C-32CE21B2F9A6}">
  <sheetPr codeName="Sheet5"/>
  <dimension ref="A1:IR69"/>
  <sheetViews>
    <sheetView workbookViewId="0">
      <selection activeCell="C33" sqref="C33"/>
    </sheetView>
  </sheetViews>
  <sheetFormatPr defaultColWidth="9.08984375" defaultRowHeight="14.5" x14ac:dyDescent="0.3"/>
  <cols>
    <col min="1" max="1" width="9.08984375" style="39"/>
    <col min="2" max="2" width="49.7265625" style="39" customWidth="1"/>
    <col min="3" max="3" width="4.7265625" style="39" customWidth="1"/>
    <col min="4" max="4" width="16.7265625" style="39" customWidth="1"/>
    <col min="5" max="5" width="15.7265625" style="39" customWidth="1"/>
    <col min="6" max="6" width="14.7265625" style="39" customWidth="1"/>
    <col min="7" max="7" width="16.7265625" style="39" customWidth="1"/>
    <col min="8" max="9" width="15.7265625" style="39" customWidth="1"/>
    <col min="10" max="11" width="16.7265625" style="39" customWidth="1"/>
    <col min="12" max="13" width="15.7265625" style="39" customWidth="1"/>
    <col min="14" max="14" width="16.7265625" style="39" customWidth="1"/>
    <col min="15" max="15" width="15.7265625" style="39" customWidth="1"/>
    <col min="16" max="16" width="16.7265625" style="39" customWidth="1"/>
    <col min="17" max="18" width="15.7265625" style="39" customWidth="1"/>
    <col min="19" max="19" width="16.7265625" style="39" customWidth="1"/>
    <col min="20" max="21" width="15.7265625" style="39" customWidth="1"/>
    <col min="22" max="23" width="16.7265625" style="39" customWidth="1"/>
    <col min="24" max="25" width="15.7265625" style="39" customWidth="1"/>
    <col min="26" max="26" width="16.7265625" style="39" customWidth="1"/>
    <col min="27" max="27" width="15.7265625" style="39" customWidth="1"/>
    <col min="28" max="28" width="16.7265625" style="39" customWidth="1"/>
    <col min="29" max="30" width="15.7265625" style="39" customWidth="1"/>
    <col min="31" max="31" width="16.7265625" style="39" customWidth="1"/>
    <col min="32" max="33" width="15.7265625" style="39" customWidth="1"/>
    <col min="34" max="35" width="16.7265625" style="39" customWidth="1"/>
    <col min="36" max="37" width="15.7265625" style="39" customWidth="1"/>
    <col min="38" max="38" width="16.7265625" style="39" customWidth="1"/>
    <col min="39" max="39" width="15.7265625" style="39" customWidth="1"/>
    <col min="40" max="40" width="16.7265625" style="39" customWidth="1"/>
    <col min="41" max="41" width="15.7265625" style="39" customWidth="1"/>
    <col min="42" max="59" width="17.7265625" style="39" customWidth="1"/>
    <col min="60" max="63" width="19.7265625" style="39" customWidth="1"/>
    <col min="64" max="251" width="9.08984375" style="39"/>
    <col min="252" max="16384" width="9.08984375" style="38"/>
  </cols>
  <sheetData>
    <row r="1" spans="1:252" x14ac:dyDescent="0.35">
      <c r="A1" s="44"/>
      <c r="B1" s="44"/>
      <c r="C1" s="1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  <c r="FM1" s="44"/>
      <c r="FN1" s="44"/>
      <c r="FO1" s="44"/>
      <c r="FP1" s="44"/>
      <c r="FQ1" s="44"/>
      <c r="FR1" s="44"/>
      <c r="FS1" s="44"/>
      <c r="FT1" s="44"/>
      <c r="FU1" s="44"/>
      <c r="FV1" s="44"/>
      <c r="FW1" s="44"/>
      <c r="FX1" s="44"/>
      <c r="FY1" s="44"/>
      <c r="FZ1" s="44"/>
      <c r="GA1" s="44"/>
      <c r="GB1" s="44"/>
      <c r="GC1" s="44"/>
      <c r="GD1" s="44"/>
      <c r="GE1" s="44"/>
      <c r="GF1" s="44"/>
      <c r="GG1" s="44"/>
      <c r="GH1" s="44"/>
      <c r="GI1" s="44"/>
      <c r="GJ1" s="44"/>
      <c r="GK1" s="44"/>
      <c r="GL1" s="44"/>
      <c r="GM1" s="44"/>
      <c r="GN1" s="44"/>
      <c r="GO1" s="44"/>
      <c r="GP1" s="44"/>
      <c r="GQ1" s="44"/>
      <c r="GR1" s="44"/>
      <c r="GS1" s="44"/>
      <c r="GT1" s="44"/>
      <c r="GU1" s="44"/>
      <c r="GV1" s="44"/>
      <c r="GW1" s="44"/>
      <c r="GX1" s="44"/>
      <c r="GY1" s="44"/>
      <c r="GZ1" s="44"/>
      <c r="HA1" s="44"/>
      <c r="HB1" s="44"/>
      <c r="HC1" s="44"/>
      <c r="HD1" s="44"/>
      <c r="HE1" s="44"/>
      <c r="HF1" s="44"/>
      <c r="HG1" s="44"/>
      <c r="HH1" s="44"/>
      <c r="HI1" s="44"/>
      <c r="HJ1" s="44"/>
      <c r="HK1" s="44"/>
      <c r="HL1" s="44"/>
      <c r="HM1" s="44"/>
      <c r="HN1" s="44"/>
      <c r="HO1" s="44"/>
      <c r="HP1" s="44"/>
      <c r="HQ1" s="44"/>
      <c r="HR1" s="44"/>
      <c r="HS1" s="44"/>
      <c r="HT1" s="44"/>
      <c r="HU1" s="44"/>
      <c r="HV1" s="44"/>
      <c r="HW1" s="44"/>
      <c r="HX1" s="44"/>
      <c r="HY1" s="44"/>
      <c r="HZ1" s="44"/>
      <c r="IA1" s="44"/>
      <c r="IB1" s="44"/>
      <c r="IC1" s="44"/>
      <c r="ID1" s="44"/>
      <c r="IE1" s="44"/>
      <c r="IF1" s="44"/>
      <c r="IG1" s="44"/>
      <c r="IH1" s="44"/>
      <c r="II1" s="44"/>
      <c r="IJ1" s="44"/>
      <c r="IK1" s="44"/>
      <c r="IL1" s="44"/>
      <c r="IM1" s="44"/>
      <c r="IN1" s="44"/>
      <c r="IO1" s="44"/>
      <c r="IP1" s="44"/>
      <c r="IQ1" s="44"/>
      <c r="IR1" s="44"/>
    </row>
    <row r="2" spans="1:252" s="48" customFormat="1" x14ac:dyDescent="0.35">
      <c r="A2" s="46"/>
      <c r="B2" s="46"/>
      <c r="C2" s="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6"/>
      <c r="ED2" s="46"/>
      <c r="EE2" s="46"/>
      <c r="EF2" s="46"/>
      <c r="EG2" s="46"/>
      <c r="EH2" s="46"/>
      <c r="EI2" s="46"/>
      <c r="EJ2" s="46"/>
      <c r="EK2" s="46"/>
      <c r="EL2" s="46"/>
      <c r="EM2" s="46"/>
      <c r="EN2" s="46"/>
      <c r="EO2" s="46"/>
      <c r="EP2" s="46"/>
      <c r="EQ2" s="46"/>
      <c r="ER2" s="46"/>
      <c r="ES2" s="46"/>
      <c r="ET2" s="46"/>
      <c r="EU2" s="46"/>
      <c r="EV2" s="46"/>
      <c r="EW2" s="46"/>
      <c r="EX2" s="46"/>
      <c r="EY2" s="46"/>
      <c r="EZ2" s="46"/>
      <c r="FA2" s="46"/>
      <c r="FB2" s="46"/>
      <c r="FC2" s="46"/>
      <c r="FD2" s="46"/>
      <c r="FE2" s="46"/>
      <c r="FF2" s="46"/>
      <c r="FG2" s="46"/>
      <c r="FH2" s="46"/>
      <c r="FI2" s="46"/>
      <c r="FJ2" s="46"/>
      <c r="FK2" s="46"/>
      <c r="FL2" s="46"/>
      <c r="FM2" s="46"/>
      <c r="FN2" s="46"/>
      <c r="FO2" s="46"/>
      <c r="FP2" s="46"/>
      <c r="FQ2" s="46"/>
      <c r="FR2" s="46"/>
      <c r="FS2" s="46"/>
      <c r="FT2" s="46"/>
      <c r="FU2" s="46"/>
      <c r="FV2" s="46"/>
      <c r="FW2" s="46"/>
      <c r="FX2" s="46"/>
      <c r="FY2" s="46"/>
      <c r="FZ2" s="46"/>
      <c r="GA2" s="46"/>
      <c r="GB2" s="46"/>
      <c r="GC2" s="46"/>
      <c r="GD2" s="46"/>
      <c r="GE2" s="46"/>
      <c r="GF2" s="46"/>
      <c r="GG2" s="46"/>
      <c r="GH2" s="46"/>
      <c r="GI2" s="46"/>
      <c r="GJ2" s="46"/>
      <c r="GK2" s="46"/>
      <c r="GL2" s="46"/>
      <c r="GM2" s="46"/>
      <c r="GN2" s="46"/>
      <c r="GO2" s="46"/>
      <c r="GP2" s="46"/>
      <c r="GQ2" s="46"/>
      <c r="GR2" s="46"/>
      <c r="GS2" s="46"/>
      <c r="GT2" s="46"/>
      <c r="GU2" s="46"/>
      <c r="GV2" s="46"/>
      <c r="GW2" s="46"/>
      <c r="GX2" s="46"/>
      <c r="GY2" s="46"/>
      <c r="GZ2" s="46"/>
      <c r="HA2" s="46"/>
      <c r="HB2" s="46"/>
      <c r="HC2" s="46"/>
      <c r="HD2" s="46"/>
      <c r="HE2" s="46"/>
      <c r="HF2" s="46"/>
      <c r="HG2" s="46"/>
      <c r="HH2" s="46"/>
      <c r="HI2" s="46"/>
      <c r="HJ2" s="46"/>
      <c r="HK2" s="46"/>
      <c r="HL2" s="46"/>
      <c r="HM2" s="46"/>
      <c r="HN2" s="46"/>
      <c r="HO2" s="46"/>
      <c r="HP2" s="46"/>
      <c r="HQ2" s="46"/>
      <c r="HR2" s="46"/>
      <c r="HS2" s="46"/>
      <c r="HT2" s="46"/>
      <c r="HU2" s="46"/>
      <c r="HV2" s="46"/>
      <c r="HW2" s="46"/>
      <c r="HX2" s="46"/>
      <c r="HY2" s="46"/>
      <c r="HZ2" s="46"/>
      <c r="IA2" s="46"/>
      <c r="IB2" s="46"/>
      <c r="IC2" s="46"/>
      <c r="ID2" s="46"/>
      <c r="IE2" s="46"/>
      <c r="IF2" s="46"/>
      <c r="IG2" s="46"/>
      <c r="IH2" s="46"/>
      <c r="II2" s="46"/>
      <c r="IJ2" s="46"/>
      <c r="IK2" s="46"/>
      <c r="IL2" s="46"/>
      <c r="IM2" s="46"/>
      <c r="IN2" s="46"/>
      <c r="IO2" s="46"/>
      <c r="IP2" s="46"/>
      <c r="IQ2" s="46"/>
      <c r="IR2" s="46"/>
    </row>
    <row r="3" spans="1:252" x14ac:dyDescent="0.35">
      <c r="A3" s="44"/>
      <c r="B3" s="44"/>
      <c r="C3" s="1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44"/>
      <c r="GN3" s="44"/>
      <c r="GO3" s="44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44"/>
      <c r="HR3" s="44"/>
      <c r="HS3" s="44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</row>
    <row r="4" spans="1:252" x14ac:dyDescent="0.35">
      <c r="C4" s="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IR4" s="39"/>
    </row>
    <row r="5" spans="1:252" x14ac:dyDescent="0.35">
      <c r="C5" s="1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IR5" s="39"/>
    </row>
    <row r="6" spans="1:252" x14ac:dyDescent="0.35">
      <c r="C6" s="1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IR6" s="39"/>
    </row>
    <row r="7" spans="1:252" s="43" customFormat="1" x14ac:dyDescent="0.35">
      <c r="A7" s="39"/>
      <c r="B7" s="42"/>
      <c r="C7" s="27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39"/>
      <c r="BM7" s="39"/>
      <c r="BN7" s="39"/>
      <c r="BO7" s="39"/>
      <c r="BP7" s="39"/>
      <c r="BQ7" s="39"/>
      <c r="BR7" s="39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</row>
    <row r="8" spans="1:252" x14ac:dyDescent="0.35">
      <c r="A8" s="44"/>
      <c r="C8" s="1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  <c r="CX8" s="44"/>
      <c r="CY8" s="44"/>
      <c r="CZ8" s="44"/>
      <c r="DA8" s="44"/>
      <c r="DB8" s="44"/>
      <c r="DC8" s="44"/>
      <c r="DD8" s="44"/>
      <c r="DE8" s="44"/>
      <c r="DF8" s="44"/>
      <c r="DG8" s="44"/>
      <c r="DH8" s="44"/>
      <c r="DI8" s="44"/>
      <c r="DJ8" s="44"/>
      <c r="DK8" s="44"/>
      <c r="DL8" s="44"/>
      <c r="DM8" s="44"/>
      <c r="DN8" s="44"/>
      <c r="DO8" s="44"/>
      <c r="DP8" s="44"/>
      <c r="DQ8" s="44"/>
      <c r="DR8" s="44"/>
      <c r="DS8" s="44"/>
      <c r="DT8" s="44"/>
      <c r="DU8" s="44"/>
      <c r="DV8" s="44"/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44"/>
      <c r="EN8" s="44"/>
      <c r="EO8" s="44"/>
      <c r="EP8" s="44"/>
      <c r="EQ8" s="44"/>
      <c r="ER8" s="44"/>
      <c r="ES8" s="44"/>
      <c r="ET8" s="44"/>
      <c r="EU8" s="44"/>
      <c r="EV8" s="44"/>
      <c r="EW8" s="44"/>
      <c r="EX8" s="44"/>
      <c r="EY8" s="44"/>
      <c r="EZ8" s="44"/>
      <c r="FA8" s="44"/>
      <c r="FB8" s="44"/>
      <c r="FC8" s="44"/>
      <c r="FD8" s="44"/>
      <c r="FE8" s="44"/>
      <c r="FF8" s="44"/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/>
      <c r="GF8" s="44"/>
      <c r="GG8" s="44"/>
      <c r="GH8" s="44"/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/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4"/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/>
      <c r="IK8" s="44"/>
      <c r="IL8" s="44"/>
      <c r="IM8" s="44"/>
      <c r="IN8" s="44"/>
      <c r="IO8" s="44"/>
      <c r="IP8" s="44"/>
      <c r="IQ8" s="44"/>
      <c r="IR8" s="44"/>
    </row>
    <row r="9" spans="1:252" x14ac:dyDescent="0.35">
      <c r="C9" s="1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IR9" s="39"/>
    </row>
    <row r="10" spans="1:252" s="43" customFormat="1" x14ac:dyDescent="0.35">
      <c r="A10" s="39"/>
      <c r="B10" s="42"/>
      <c r="C10" s="27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39"/>
      <c r="BM10" s="39"/>
      <c r="BN10" s="39"/>
      <c r="BO10" s="39"/>
      <c r="BP10" s="39"/>
      <c r="BQ10" s="39"/>
      <c r="BR10" s="39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2"/>
      <c r="IK10" s="42"/>
      <c r="IL10" s="42"/>
      <c r="IM10" s="42"/>
      <c r="IN10" s="42"/>
      <c r="IO10" s="42"/>
      <c r="IP10" s="42"/>
      <c r="IQ10" s="42"/>
      <c r="IR10" s="42"/>
    </row>
    <row r="11" spans="1:252" x14ac:dyDescent="0.35">
      <c r="A11" s="44"/>
      <c r="C11" s="1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/>
      <c r="DE11" s="44"/>
      <c r="DF11" s="44"/>
      <c r="DG11" s="44"/>
      <c r="DH11" s="44"/>
      <c r="DI11" s="44"/>
      <c r="DJ11" s="44"/>
      <c r="DK11" s="44"/>
      <c r="DL11" s="44"/>
      <c r="DM11" s="44"/>
      <c r="DN11" s="44"/>
      <c r="DO11" s="44"/>
      <c r="DP11" s="44"/>
      <c r="DQ11" s="44"/>
      <c r="DR11" s="44"/>
      <c r="DS11" s="44"/>
      <c r="DT11" s="44"/>
      <c r="DU11" s="44"/>
      <c r="DV11" s="44"/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44"/>
      <c r="EN11" s="44"/>
      <c r="EO11" s="44"/>
      <c r="EP11" s="44"/>
      <c r="EQ11" s="44"/>
      <c r="ER11" s="44"/>
      <c r="ES11" s="44"/>
      <c r="ET11" s="44"/>
      <c r="EU11" s="44"/>
      <c r="EV11" s="44"/>
      <c r="EW11" s="44"/>
      <c r="EX11" s="44"/>
      <c r="EY11" s="44"/>
      <c r="EZ11" s="44"/>
      <c r="FA11" s="44"/>
      <c r="FB11" s="44"/>
      <c r="FC11" s="44"/>
      <c r="FD11" s="44"/>
      <c r="FE11" s="44"/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/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/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/>
      <c r="IK11" s="44"/>
      <c r="IL11" s="44"/>
      <c r="IM11" s="44"/>
      <c r="IN11" s="44"/>
      <c r="IO11" s="44"/>
      <c r="IP11" s="44"/>
      <c r="IQ11" s="44"/>
      <c r="IR11" s="44"/>
    </row>
    <row r="12" spans="1:252" x14ac:dyDescent="0.35">
      <c r="C12" s="1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IR12" s="39"/>
    </row>
    <row r="13" spans="1:252" x14ac:dyDescent="0.35">
      <c r="C13" s="1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IR13" s="39"/>
    </row>
    <row r="14" spans="1:252" x14ac:dyDescent="0.35">
      <c r="C14" s="1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IR14" s="39"/>
    </row>
    <row r="15" spans="1:252" x14ac:dyDescent="0.35">
      <c r="B15" s="42"/>
      <c r="C15" s="27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IR15" s="39"/>
    </row>
    <row r="16" spans="1:252" x14ac:dyDescent="0.35">
      <c r="C16" s="1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IR16" s="39"/>
    </row>
    <row r="17" spans="1:252" x14ac:dyDescent="0.35">
      <c r="C17" s="1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IR17" s="39"/>
    </row>
    <row r="18" spans="1:252" x14ac:dyDescent="0.35">
      <c r="B18" s="42"/>
      <c r="C18" s="27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IR18" s="39"/>
    </row>
    <row r="19" spans="1:252" x14ac:dyDescent="0.35">
      <c r="C19" s="1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IR19" s="39"/>
    </row>
    <row r="20" spans="1:252" s="48" customFormat="1" x14ac:dyDescent="0.35">
      <c r="A20" s="44"/>
      <c r="B20" s="44"/>
      <c r="C20" s="1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</row>
    <row r="21" spans="1:252" x14ac:dyDescent="0.35">
      <c r="A21" s="46"/>
      <c r="B21" s="46"/>
      <c r="C21" s="1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</row>
    <row r="22" spans="1:252" x14ac:dyDescent="0.35">
      <c r="C22" s="1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IR22" s="39"/>
    </row>
    <row r="23" spans="1:252" x14ac:dyDescent="0.35">
      <c r="C23" s="1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IR23" s="39"/>
    </row>
    <row r="24" spans="1:252" x14ac:dyDescent="0.35">
      <c r="C24" s="1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IR24" s="39"/>
    </row>
    <row r="25" spans="1:252" s="43" customFormat="1" x14ac:dyDescent="0.35">
      <c r="A25" s="39"/>
      <c r="B25" s="39"/>
      <c r="C25" s="1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</row>
    <row r="26" spans="1:252" x14ac:dyDescent="0.35">
      <c r="C26" s="1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</row>
    <row r="27" spans="1:252" x14ac:dyDescent="0.35">
      <c r="B27" s="42"/>
      <c r="C27" s="27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IR27" s="39"/>
    </row>
    <row r="28" spans="1:252" x14ac:dyDescent="0.35">
      <c r="C28" s="1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IR28" s="39"/>
    </row>
    <row r="29" spans="1:252" x14ac:dyDescent="0.35">
      <c r="C29" s="1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IR29" s="39"/>
    </row>
    <row r="30" spans="1:252" x14ac:dyDescent="0.35">
      <c r="C30" s="1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IR30" s="39"/>
    </row>
    <row r="31" spans="1:252" s="43" customFormat="1" x14ac:dyDescent="0.35">
      <c r="A31" s="39"/>
      <c r="B31" s="39"/>
      <c r="C31" s="1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</row>
    <row r="32" spans="1:252" x14ac:dyDescent="0.35">
      <c r="C32" s="1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"/>
      <c r="BM32" s="4"/>
      <c r="BN32" s="4"/>
      <c r="BO32" s="4"/>
      <c r="BP32" s="4"/>
      <c r="BQ32" s="4"/>
      <c r="BR32" s="4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</row>
    <row r="33" spans="1:252" s="43" customFormat="1" x14ac:dyDescent="0.35">
      <c r="A33" s="44"/>
      <c r="B33" s="39"/>
      <c r="C33" s="1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/>
      <c r="EG33" s="44"/>
      <c r="EH33" s="44"/>
      <c r="EI33" s="44"/>
      <c r="EJ33" s="44"/>
      <c r="EK33" s="44"/>
      <c r="EL33" s="44"/>
      <c r="EM33" s="44"/>
      <c r="EN33" s="44"/>
      <c r="EO33" s="44"/>
      <c r="EP33" s="44"/>
      <c r="EQ33" s="44"/>
      <c r="ER33" s="44"/>
      <c r="ES33" s="44"/>
      <c r="ET33" s="44"/>
      <c r="EU33" s="44"/>
      <c r="EV33" s="44"/>
      <c r="EW33" s="44"/>
      <c r="EX33" s="44"/>
      <c r="EY33" s="44"/>
      <c r="EZ33" s="44"/>
      <c r="FA33" s="44"/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</row>
    <row r="34" spans="1:252" x14ac:dyDescent="0.35">
      <c r="C34" s="1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"/>
      <c r="BM34" s="4"/>
      <c r="BN34" s="4"/>
      <c r="BO34" s="4"/>
      <c r="BP34" s="4"/>
      <c r="BQ34" s="4"/>
      <c r="BR34" s="4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</row>
    <row r="35" spans="1:252" x14ac:dyDescent="0.35">
      <c r="A35" s="44"/>
      <c r="C35" s="1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/>
      <c r="EG35" s="44"/>
      <c r="EH35" s="44"/>
      <c r="EI35" s="44"/>
      <c r="EJ35" s="44"/>
      <c r="EK35" s="44"/>
      <c r="EL35" s="44"/>
      <c r="EM35" s="44"/>
      <c r="EN35" s="44"/>
      <c r="EO35" s="44"/>
      <c r="EP35" s="44"/>
      <c r="EQ35" s="44"/>
      <c r="ER35" s="44"/>
      <c r="ES35" s="44"/>
      <c r="ET35" s="44"/>
      <c r="EU35" s="44"/>
      <c r="EV35" s="44"/>
      <c r="EW35" s="44"/>
      <c r="EX35" s="44"/>
      <c r="EY35" s="44"/>
      <c r="EZ35" s="44"/>
      <c r="FA35" s="44"/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</row>
    <row r="36" spans="1:252" x14ac:dyDescent="0.35">
      <c r="B36" s="42"/>
      <c r="C36" s="27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IR36" s="39"/>
    </row>
    <row r="37" spans="1:252" s="43" customFormat="1" x14ac:dyDescent="0.35">
      <c r="A37" s="39"/>
      <c r="B37" s="39"/>
      <c r="C37" s="1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</row>
    <row r="38" spans="1:252" x14ac:dyDescent="0.35">
      <c r="B38" s="42"/>
      <c r="C38" s="27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"/>
      <c r="BM38" s="4"/>
      <c r="BN38" s="4"/>
      <c r="BO38" s="4"/>
      <c r="BP38" s="4"/>
      <c r="BQ38" s="4"/>
      <c r="BR38" s="4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</row>
    <row r="39" spans="1:252" x14ac:dyDescent="0.35">
      <c r="C39" s="1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"/>
      <c r="BM39" s="4"/>
      <c r="BN39" s="4"/>
      <c r="BO39" s="4"/>
      <c r="BP39" s="4"/>
      <c r="BQ39" s="4"/>
      <c r="BR39" s="4"/>
      <c r="IR39" s="39"/>
    </row>
    <row r="40" spans="1:252" x14ac:dyDescent="0.35">
      <c r="C40" s="1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"/>
      <c r="BM40" s="4"/>
      <c r="BN40" s="4"/>
      <c r="BO40" s="4"/>
      <c r="BP40" s="4"/>
      <c r="BQ40" s="4"/>
      <c r="BR40" s="4"/>
      <c r="IR40" s="39"/>
    </row>
    <row r="41" spans="1:252" x14ac:dyDescent="0.35">
      <c r="C41" s="1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"/>
      <c r="BM41" s="4"/>
      <c r="BN41" s="4"/>
      <c r="BO41" s="4"/>
      <c r="BP41" s="4"/>
      <c r="BQ41" s="4"/>
      <c r="BR41" s="4"/>
      <c r="IR41" s="39"/>
    </row>
    <row r="42" spans="1:252" x14ac:dyDescent="0.35">
      <c r="B42" s="42"/>
      <c r="C42" s="27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"/>
      <c r="BM42" s="4"/>
      <c r="BN42" s="4"/>
      <c r="BO42" s="4"/>
      <c r="BP42" s="4"/>
      <c r="BQ42" s="4"/>
      <c r="BR42" s="4"/>
      <c r="IR42" s="39"/>
    </row>
    <row r="43" spans="1:252" x14ac:dyDescent="0.35">
      <c r="C43" s="1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"/>
      <c r="BM43" s="4"/>
      <c r="BN43" s="4"/>
      <c r="BO43" s="4"/>
      <c r="BP43" s="4"/>
      <c r="BQ43" s="4"/>
      <c r="BR43" s="4"/>
      <c r="IR43" s="39"/>
    </row>
    <row r="44" spans="1:252" x14ac:dyDescent="0.35">
      <c r="A44" s="44"/>
      <c r="B44" s="44"/>
      <c r="C44" s="1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</row>
    <row r="45" spans="1:252" x14ac:dyDescent="0.35">
      <c r="A45" s="46"/>
      <c r="B45" s="46"/>
      <c r="C45" s="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46"/>
      <c r="FK45" s="46"/>
      <c r="FL45" s="46"/>
      <c r="FM45" s="46"/>
      <c r="FN45" s="46"/>
      <c r="FO45" s="46"/>
      <c r="FP45" s="46"/>
      <c r="FQ45" s="46"/>
      <c r="FR45" s="46"/>
      <c r="FS45" s="46"/>
      <c r="FT45" s="46"/>
      <c r="FU45" s="46"/>
      <c r="FV45" s="46"/>
      <c r="FW45" s="46"/>
      <c r="FX45" s="46"/>
      <c r="FY45" s="46"/>
      <c r="FZ45" s="46"/>
      <c r="GA45" s="46"/>
      <c r="GB45" s="46"/>
      <c r="GC45" s="46"/>
      <c r="GD45" s="46"/>
      <c r="GE45" s="46"/>
      <c r="GF45" s="46"/>
      <c r="GG45" s="46"/>
      <c r="GH45" s="46"/>
      <c r="GI45" s="46"/>
      <c r="GJ45" s="46"/>
      <c r="GK45" s="46"/>
      <c r="GL45" s="46"/>
      <c r="GM45" s="46"/>
      <c r="GN45" s="46"/>
      <c r="GO45" s="46"/>
      <c r="GP45" s="46"/>
      <c r="GQ45" s="46"/>
      <c r="GR45" s="46"/>
      <c r="GS45" s="46"/>
      <c r="GT45" s="46"/>
      <c r="GU45" s="46"/>
      <c r="GV45" s="46"/>
      <c r="GW45" s="46"/>
      <c r="GX45" s="46"/>
      <c r="GY45" s="46"/>
      <c r="GZ45" s="46"/>
      <c r="HA45" s="46"/>
      <c r="HB45" s="46"/>
      <c r="HC45" s="46"/>
      <c r="HD45" s="46"/>
      <c r="HE45" s="46"/>
      <c r="HF45" s="46"/>
      <c r="HG45" s="46"/>
      <c r="HH45" s="46"/>
      <c r="HI45" s="46"/>
      <c r="HJ45" s="46"/>
      <c r="HK45" s="46"/>
      <c r="HL45" s="46"/>
      <c r="HM45" s="46"/>
      <c r="HN45" s="46"/>
      <c r="HO45" s="46"/>
      <c r="HP45" s="46"/>
      <c r="HQ45" s="46"/>
      <c r="HR45" s="46"/>
      <c r="HS45" s="46"/>
      <c r="HT45" s="46"/>
      <c r="HU45" s="46"/>
      <c r="HV45" s="46"/>
      <c r="HW45" s="46"/>
      <c r="HX45" s="46"/>
      <c r="HY45" s="46"/>
      <c r="HZ45" s="46"/>
      <c r="IA45" s="46"/>
      <c r="IB45" s="46"/>
      <c r="IC45" s="46"/>
      <c r="ID45" s="46"/>
      <c r="IE45" s="46"/>
      <c r="IF45" s="46"/>
      <c r="IG45" s="46"/>
      <c r="IH45" s="46"/>
      <c r="II45" s="46"/>
      <c r="IJ45" s="46"/>
      <c r="IK45" s="46"/>
      <c r="IL45" s="46"/>
      <c r="IM45" s="46"/>
      <c r="IN45" s="46"/>
      <c r="IO45" s="46"/>
      <c r="IP45" s="46"/>
      <c r="IQ45" s="46"/>
      <c r="IR45" s="46"/>
    </row>
    <row r="46" spans="1:252" x14ac:dyDescent="0.35">
      <c r="A46" s="44"/>
      <c r="B46" s="44"/>
      <c r="C46" s="1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</row>
    <row r="47" spans="1:252" s="43" customFormat="1" x14ac:dyDescent="0.35">
      <c r="A47" s="39"/>
      <c r="B47" s="39"/>
      <c r="C47" s="1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</row>
    <row r="48" spans="1:252" x14ac:dyDescent="0.35">
      <c r="C48" s="1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</row>
    <row r="49" spans="1:252" x14ac:dyDescent="0.35">
      <c r="C49" s="1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</row>
    <row r="50" spans="1:252" s="43" customFormat="1" x14ac:dyDescent="0.35">
      <c r="A50" s="44"/>
      <c r="B50" s="39"/>
      <c r="C50" s="1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</row>
    <row r="51" spans="1:252" x14ac:dyDescent="0.35">
      <c r="B51" s="42"/>
      <c r="C51" s="27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</row>
    <row r="52" spans="1:252" x14ac:dyDescent="0.35">
      <c r="C52" s="1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</row>
    <row r="53" spans="1:252" x14ac:dyDescent="0.35">
      <c r="A53" s="44"/>
      <c r="C53" s="1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/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4"/>
      <c r="EU53" s="44"/>
      <c r="EV53" s="44"/>
      <c r="EW53" s="44"/>
      <c r="EX53" s="44"/>
      <c r="EY53" s="44"/>
      <c r="EZ53" s="44"/>
      <c r="FA53" s="44"/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</row>
    <row r="54" spans="1:252" x14ac:dyDescent="0.35">
      <c r="B54" s="42"/>
      <c r="C54" s="27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IR54" s="39"/>
    </row>
    <row r="55" spans="1:252" x14ac:dyDescent="0.35">
      <c r="C55" s="1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IR55" s="39"/>
    </row>
    <row r="56" spans="1:252" x14ac:dyDescent="0.35">
      <c r="C56" s="1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IR56" s="39"/>
    </row>
    <row r="57" spans="1:252" x14ac:dyDescent="0.35">
      <c r="C57" s="1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IR57" s="39"/>
    </row>
    <row r="58" spans="1:252" s="43" customFormat="1" x14ac:dyDescent="0.35">
      <c r="A58" s="39"/>
      <c r="B58" s="39"/>
      <c r="C58" s="1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</row>
    <row r="59" spans="1:252" x14ac:dyDescent="0.35">
      <c r="C59" s="1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</row>
    <row r="60" spans="1:252" x14ac:dyDescent="0.35">
      <c r="C60" s="1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</row>
    <row r="61" spans="1:252" s="43" customFormat="1" x14ac:dyDescent="0.35">
      <c r="A61" s="44"/>
      <c r="B61" s="39"/>
      <c r="C61" s="1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/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/>
      <c r="EU61" s="44"/>
      <c r="EV61" s="44"/>
      <c r="EW61" s="44"/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</row>
    <row r="62" spans="1:252" x14ac:dyDescent="0.35">
      <c r="C62" s="1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</row>
    <row r="63" spans="1:252" x14ac:dyDescent="0.35">
      <c r="C63" s="1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"/>
      <c r="BM63" s="4"/>
      <c r="BN63" s="4"/>
      <c r="BO63" s="4"/>
      <c r="BP63" s="4"/>
      <c r="BQ63" s="4"/>
      <c r="BR63" s="4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</row>
    <row r="64" spans="1:252" x14ac:dyDescent="0.35">
      <c r="A64" s="1"/>
      <c r="C64" s="1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1"/>
    </row>
    <row r="65" spans="2:63" x14ac:dyDescent="0.35">
      <c r="B65" s="42"/>
      <c r="C65" s="27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</row>
    <row r="66" spans="2:63" x14ac:dyDescent="0.35">
      <c r="C66" s="1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</row>
    <row r="67" spans="2:63" x14ac:dyDescent="0.35">
      <c r="C67" s="1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</row>
    <row r="68" spans="2:63" x14ac:dyDescent="0.35">
      <c r="B68" s="42"/>
      <c r="C68" s="27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</row>
    <row r="69" spans="2:63" x14ac:dyDescent="0.35">
      <c r="C69" s="1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SQRNavigation</vt:lpstr>
      <vt:lpstr>SQRInputBindings</vt:lpstr>
      <vt:lpstr>SQRChartBindings</vt:lpstr>
      <vt:lpstr>SQRAnnual</vt:lpstr>
      <vt:lpstr>SQRMonthly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Davidson</dc:creator>
  <cp:lastModifiedBy>Andy Davidson</cp:lastModifiedBy>
  <dcterms:created xsi:type="dcterms:W3CDTF">2023-08-23T18:02:17Z</dcterms:created>
  <dcterms:modified xsi:type="dcterms:W3CDTF">2023-09-10T20:20:10Z</dcterms:modified>
</cp:coreProperties>
</file>