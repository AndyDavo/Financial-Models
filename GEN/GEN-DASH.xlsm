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yd\OneDrive\Documents\Financial Models\GEN\"/>
    </mc:Choice>
  </mc:AlternateContent>
  <xr:revisionPtr revIDLastSave="0" documentId="13_ncr:1_{671773BF-00B3-46EC-8EB2-DC21B7A1C8C2}" xr6:coauthVersionLast="47" xr6:coauthVersionMax="47" xr10:uidLastSave="{00000000-0000-0000-0000-000000000000}"/>
  <bookViews>
    <workbookView xWindow="34560" yWindow="-6550" windowWidth="26850" windowHeight="17750" activeTab="4" xr2:uid="{6A325040-A097-4ABF-8CB8-152B9E95EEE7}"/>
  </bookViews>
  <sheets>
    <sheet name="SQRNavigation" sheetId="3" r:id="rId1"/>
    <sheet name="SQRInputBindings" sheetId="4" r:id="rId2"/>
    <sheet name="SQRChartBindings" sheetId="5" r:id="rId3"/>
    <sheet name="SQRAnnual" sheetId="6" r:id="rId4"/>
    <sheet name="SQRMonthly" sheetId="7" r:id="rId5"/>
  </sheets>
  <externalReferences>
    <externalReference r:id="rId6"/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5" l="1"/>
  <c r="F4" i="5"/>
  <c r="E7" i="5" s="1"/>
  <c r="E10" i="5"/>
  <c r="E12" i="5"/>
  <c r="E13" i="5"/>
  <c r="E14" i="5"/>
  <c r="E16" i="5"/>
  <c r="E20" i="5"/>
  <c r="E21" i="5"/>
  <c r="E22" i="5"/>
  <c r="E23" i="5"/>
  <c r="E26" i="5"/>
  <c r="E29" i="5"/>
  <c r="E30" i="5"/>
  <c r="I3" i="4"/>
  <c r="I4" i="4"/>
  <c r="I64" i="4" s="1"/>
  <c r="I5" i="4"/>
  <c r="I8" i="4"/>
  <c r="I9" i="4"/>
  <c r="I10" i="4"/>
  <c r="I14" i="4"/>
  <c r="I15" i="4"/>
  <c r="I17" i="4"/>
  <c r="I20" i="4"/>
  <c r="I21" i="4"/>
  <c r="I22" i="4"/>
  <c r="I23" i="4"/>
  <c r="I24" i="4"/>
  <c r="E29" i="4"/>
  <c r="I45" i="4" s="1"/>
  <c r="E32" i="4"/>
  <c r="I46" i="4" s="1"/>
  <c r="E36" i="4"/>
  <c r="E39" i="4"/>
  <c r="I52" i="4" s="1"/>
  <c r="E43" i="4"/>
  <c r="I60" i="4" s="1"/>
  <c r="E46" i="4"/>
  <c r="I47" i="4"/>
  <c r="I48" i="4"/>
  <c r="I53" i="4"/>
  <c r="I55" i="4"/>
  <c r="I56" i="4"/>
  <c r="I59" i="4"/>
  <c r="I61" i="4"/>
  <c r="I63" i="4"/>
  <c r="B6" i="3"/>
  <c r="C6" i="3"/>
  <c r="C11" i="3" s="1"/>
  <c r="C12" i="3" s="1"/>
  <c r="C17" i="3" s="1"/>
  <c r="C18" i="3" s="1"/>
  <c r="C23" i="3" s="1"/>
  <c r="D6" i="3"/>
  <c r="E6" i="3"/>
  <c r="B12" i="3"/>
  <c r="D12" i="3"/>
  <c r="E12" i="3"/>
  <c r="B18" i="3"/>
  <c r="D18" i="3"/>
  <c r="E18" i="3"/>
  <c r="E28" i="5" l="1"/>
  <c r="E19" i="5"/>
  <c r="E9" i="5"/>
  <c r="E27" i="5"/>
  <c r="E18" i="5"/>
  <c r="E6" i="5"/>
  <c r="E24" i="5"/>
  <c r="E15" i="5"/>
</calcChain>
</file>

<file path=xl/sharedStrings.xml><?xml version="1.0" encoding="utf-8"?>
<sst xmlns="http://schemas.openxmlformats.org/spreadsheetml/2006/main" count="287" uniqueCount="175">
  <si>
    <t>Export</t>
  </si>
  <si>
    <t>Export to excel</t>
  </si>
  <si>
    <t>Actual</t>
  </si>
  <si>
    <t>Base</t>
  </si>
  <si>
    <t>Buffer</t>
  </si>
  <si>
    <t>height</t>
  </si>
  <si>
    <t>width</t>
  </si>
  <si>
    <t>y</t>
  </si>
  <si>
    <t>X</t>
  </si>
  <si>
    <t>Canvas</t>
  </si>
  <si>
    <t>show</t>
  </si>
  <si>
    <t>Annual</t>
  </si>
  <si>
    <t>Hide</t>
  </si>
  <si>
    <t>Show Charts</t>
  </si>
  <si>
    <t>Monthly</t>
  </si>
  <si>
    <t>Show</t>
  </si>
  <si>
    <t>visible</t>
  </si>
  <si>
    <t>Show Annual/Monthly</t>
  </si>
  <si>
    <t>Show Reports Button</t>
  </si>
  <si>
    <t>Reports</t>
  </si>
  <si>
    <t>Show Charts Button</t>
  </si>
  <si>
    <t>Charts</t>
  </si>
  <si>
    <t>Show Drivers Button</t>
  </si>
  <si>
    <t>Drivers</t>
  </si>
  <si>
    <t>Opening Asset Finance balance</t>
  </si>
  <si>
    <t>Asset Finance Advance %</t>
  </si>
  <si>
    <t>Asset Finance Period</t>
  </si>
  <si>
    <t>All in Trade finance annual interest rate</t>
  </si>
  <si>
    <t>Asset Finance Enabled beginning date</t>
  </si>
  <si>
    <t>Asset Finance Enabled end date</t>
  </si>
  <si>
    <t>AF Drawdown</t>
  </si>
  <si>
    <t>%</t>
  </si>
  <si>
    <t>Trade finance Advance %</t>
  </si>
  <si>
    <t>AF Interest Rate</t>
  </si>
  <si>
    <t>GBP</t>
  </si>
  <si>
    <t>Opening Trade finance balance</t>
  </si>
  <si>
    <t>TF Drawdown</t>
  </si>
  <si>
    <t>date</t>
  </si>
  <si>
    <t>Trade finance enabled beginning date</t>
  </si>
  <si>
    <t>TF Interest Rate</t>
  </si>
  <si>
    <t>Trade finance enabled end date</t>
  </si>
  <si>
    <t>IF Drawdown</t>
  </si>
  <si>
    <t>IF Interest Rate</t>
  </si>
  <si>
    <t>Opening Invoice finance balance</t>
  </si>
  <si>
    <t>All in Invoice Finance annual interest rate</t>
  </si>
  <si>
    <t>AF End Year</t>
  </si>
  <si>
    <t>Invoice Finance Advance %</t>
  </si>
  <si>
    <t>AF End Month</t>
  </si>
  <si>
    <t>Invoice Finance Enabled end date</t>
  </si>
  <si>
    <t>Year 4 / 5</t>
  </si>
  <si>
    <t>Invoice Finance Enabled beginning date</t>
  </si>
  <si>
    <t>End Date</t>
  </si>
  <si>
    <t>AF Start Year</t>
  </si>
  <si>
    <t>Year 3 / 4</t>
  </si>
  <si>
    <t>AF Start Month</t>
  </si>
  <si>
    <t>Year 2 / 3</t>
  </si>
  <si>
    <t>unchecked</t>
  </si>
  <si>
    <t>AF Enabled</t>
  </si>
  <si>
    <t>Year 1 / 2</t>
  </si>
  <si>
    <t>day</t>
  </si>
  <si>
    <t>debt day count convention</t>
  </si>
  <si>
    <t>Start Date</t>
  </si>
  <si>
    <t>Days in period</t>
  </si>
  <si>
    <t>TF End Year</t>
  </si>
  <si>
    <t>Charts Drop Down</t>
  </si>
  <si>
    <t>TF End Month</t>
  </si>
  <si>
    <t>Opening Retained Earnings</t>
  </si>
  <si>
    <t>TF Start Year</t>
  </si>
  <si>
    <t>Opening Creditors</t>
  </si>
  <si>
    <t>TF Start Month</t>
  </si>
  <si>
    <t>Opening Debtors</t>
  </si>
  <si>
    <t>TF Enabled</t>
  </si>
  <si>
    <t>Opening Inventory</t>
  </si>
  <si>
    <t>Opening Deferred Income</t>
  </si>
  <si>
    <t>IF End Year</t>
  </si>
  <si>
    <t>Opening Cash</t>
  </si>
  <si>
    <t>IF End Month</t>
  </si>
  <si>
    <t>Opening Share Capital</t>
  </si>
  <si>
    <t>IF Start Year</t>
  </si>
  <si>
    <t>IF Start Month</t>
  </si>
  <si>
    <t>Units</t>
  </si>
  <si>
    <t>Opening Units in use</t>
  </si>
  <si>
    <t>IF Enabled</t>
  </si>
  <si>
    <t>Opening Units in stock</t>
  </si>
  <si>
    <t>Opening Units on order</t>
  </si>
  <si>
    <t>Minimum supplier order quantity</t>
  </si>
  <si>
    <t>Supplier price per unit</t>
  </si>
  <si>
    <t>Months</t>
  </si>
  <si>
    <t>Order lead time (months)</t>
  </si>
  <si>
    <t>Supplier order deposit</t>
  </si>
  <si>
    <t>Dec</t>
  </si>
  <si>
    <t>Minimum quantity before reorder</t>
  </si>
  <si>
    <t>Variable operating costs as a % of sales</t>
  </si>
  <si>
    <t>Nov</t>
  </si>
  <si>
    <t>FOC annual growth rate</t>
  </si>
  <si>
    <t>Oct</t>
  </si>
  <si>
    <t>fixed operating cost (FOC)</t>
  </si>
  <si>
    <t>Sep</t>
  </si>
  <si>
    <t>Variable Operating Costs as a % of sales</t>
  </si>
  <si>
    <t>Expense:</t>
  </si>
  <si>
    <t>Aug</t>
  </si>
  <si>
    <t>Fixed Operating Cost Growth Rate escalation frequency</t>
  </si>
  <si>
    <t>Jul</t>
  </si>
  <si>
    <t>Fixed Operating Cost Growth Rate annual start escalation rate</t>
  </si>
  <si>
    <t>Customer Retention:</t>
  </si>
  <si>
    <t>Jun</t>
  </si>
  <si>
    <t>Fixed operating cost base</t>
  </si>
  <si>
    <t>Annual Growth Rate:</t>
  </si>
  <si>
    <t>May</t>
  </si>
  <si>
    <t>customer contract length (months):</t>
  </si>
  <si>
    <t>Apr</t>
  </si>
  <si>
    <t>sales price (per unit):</t>
  </si>
  <si>
    <t>Mar</t>
  </si>
  <si>
    <t>Invoice Term</t>
  </si>
  <si>
    <t>Customer payment terms (months):</t>
  </si>
  <si>
    <t>Feb</t>
  </si>
  <si>
    <t>Contract Length</t>
  </si>
  <si>
    <t>Customer base monthly order:</t>
  </si>
  <si>
    <t>Jan</t>
  </si>
  <si>
    <t>Sales Price Unit</t>
  </si>
  <si>
    <t>Customer Orders:</t>
  </si>
  <si>
    <t>Years</t>
  </si>
  <si>
    <t>Customer payment terms (months)</t>
  </si>
  <si>
    <t>Opening Customer Orders Awaiting Fullfilment</t>
  </si>
  <si>
    <t>minimum stock:</t>
  </si>
  <si>
    <t>Finance</t>
  </si>
  <si>
    <t>Customer Order Growth escalation frequency</t>
  </si>
  <si>
    <t>minimum order:</t>
  </si>
  <si>
    <t>Customer Order Growth annual start escalation rate</t>
  </si>
  <si>
    <t>cost per unit:</t>
  </si>
  <si>
    <t>Customer base order number</t>
  </si>
  <si>
    <t>Lead time (months):</t>
  </si>
  <si>
    <t>Customer Retention</t>
  </si>
  <si>
    <t>Supplier Deposit:</t>
  </si>
  <si>
    <t>(link INC directly to each of these</t>
  </si>
  <si>
    <t>(for model drivers</t>
  </si>
  <si>
    <t>(saved in scenarios</t>
  </si>
  <si>
    <t>Supplier Orders:</t>
  </si>
  <si>
    <t>Dropdown lists and labels</t>
  </si>
  <si>
    <t>Model Drivers</t>
  </si>
  <si>
    <t>Calculations from Inputs</t>
  </si>
  <si>
    <t>Dashbboard Inputs</t>
  </si>
  <si>
    <t>Dashboard Labels</t>
  </si>
  <si>
    <t/>
  </si>
  <si>
    <t>Units retired</t>
  </si>
  <si>
    <t>Inventory Report</t>
  </si>
  <si>
    <t>Units in Use</t>
  </si>
  <si>
    <t>Units in stock</t>
  </si>
  <si>
    <t>Units on order</t>
  </si>
  <si>
    <t>Customer orders waiting</t>
  </si>
  <si>
    <t>Corporation Tax</t>
  </si>
  <si>
    <t>Income Statement</t>
  </si>
  <si>
    <t>Asset Finance</t>
  </si>
  <si>
    <t>Trade Finance</t>
  </si>
  <si>
    <t>Invoice Finance</t>
  </si>
  <si>
    <t>Depreciation</t>
  </si>
  <si>
    <t>Fixed Expense</t>
  </si>
  <si>
    <t>Variable Expense</t>
  </si>
  <si>
    <t>Retained Earning this period</t>
  </si>
  <si>
    <t>Profit before Tax</t>
  </si>
  <si>
    <t>EBIT</t>
  </si>
  <si>
    <t>EBITDA</t>
  </si>
  <si>
    <t>Income</t>
  </si>
  <si>
    <t>Asset Finance Balance</t>
  </si>
  <si>
    <t>Balance Sheet</t>
  </si>
  <si>
    <t>Trade Finance Balance</t>
  </si>
  <si>
    <t>Invoice Finance Balance</t>
  </si>
  <si>
    <t>Cash Balance</t>
  </si>
  <si>
    <t>Dates</t>
  </si>
  <si>
    <t>SQRMonthly!D2</t>
  </si>
  <si>
    <t>SQRMonthly</t>
  </si>
  <si>
    <t>Chart offsets</t>
  </si>
  <si>
    <t>offset</t>
  </si>
  <si>
    <t>This sheet section enables navigation</t>
  </si>
  <si>
    <t>Enables Exports to excel functionalisty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</si>
</sst>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_);\(#,##0\);&quot;-  &quot;;&quot; &quot;@&quot; &quot;"/>
    <numFmt numFmtId="165" formatCode="dd\ mmm\ yy_);\(###0\);&quot;-  &quot;;&quot; &quot;@&quot; &quot;"/>
    <numFmt numFmtId="166" formatCode="0.00%_);\-0.00%_);&quot;-  &quot;;&quot; &quot;@&quot; &quot;"/>
    <numFmt numFmtId="167" formatCode="#,##0_);\(#,##0\);&quot;-  &quot;;&quot; &quot;@"/>
    <numFmt numFmtId="168" formatCode="m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2"/>
      <color rgb="FF000000"/>
      <name val="Open Sans"/>
    </font>
    <font>
      <sz val="10"/>
      <color theme="1"/>
      <name val="Arial"/>
    </font>
    <font>
      <sz val="10"/>
      <color rgb="FF000000"/>
      <name val="Arial"/>
    </font>
    <font>
      <sz val="10"/>
      <name val="Arial"/>
    </font>
    <font>
      <sz val="10"/>
      <color theme="1"/>
      <name val="Calibri"/>
    </font>
    <font>
      <sz val="10"/>
      <color rgb="FF000000"/>
      <name val="Open Sans"/>
    </font>
    <font>
      <b/>
      <sz val="10"/>
      <color theme="1"/>
      <name val="Tahoma"/>
    </font>
    <font>
      <b/>
      <sz val="11"/>
      <color theme="1"/>
      <name val="Calibri"/>
    </font>
    <font>
      <sz val="10"/>
      <color rgb="FF000000"/>
      <name val="Calibri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bgColor rgb="FF999999"/>
      </patternFill>
    </fill>
    <fill>
      <patternFill patternType="solid">
        <fgColor rgb="FFFFFF00"/>
        <bgColor rgb="FFFEFF03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00FF00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 style="hair">
        <color indexed="64"/>
      </right>
      <top style="hair">
        <color theme="0"/>
      </top>
      <bottom style="hair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0" fontId="1" fillId="0" borderId="0" xfId="1"/>
    <xf numFmtId="0" fontId="1" fillId="3" borderId="0" xfId="1" applyFill="1"/>
    <xf numFmtId="164" fontId="2" fillId="0" borderId="0" xfId="1" applyNumberFormat="1" applyFont="1" applyAlignment="1">
      <alignment vertical="top"/>
    </xf>
    <xf numFmtId="164" fontId="1" fillId="0" borderId="0" xfId="1" applyNumberFormat="1"/>
    <xf numFmtId="164" fontId="3" fillId="0" borderId="0" xfId="1" applyNumberFormat="1" applyFont="1" applyAlignment="1">
      <alignment vertical="top"/>
    </xf>
    <xf numFmtId="165" fontId="4" fillId="0" borderId="1" xfId="1" applyNumberFormat="1" applyFont="1" applyBorder="1" applyAlignment="1">
      <alignment vertical="top"/>
    </xf>
    <xf numFmtId="165" fontId="3" fillId="0" borderId="0" xfId="1" applyNumberFormat="1" applyFont="1" applyAlignment="1">
      <alignment vertical="top"/>
    </xf>
    <xf numFmtId="164" fontId="5" fillId="0" borderId="2" xfId="1" applyNumberFormat="1" applyFont="1" applyBorder="1" applyAlignment="1">
      <alignment vertical="top"/>
    </xf>
    <xf numFmtId="10" fontId="5" fillId="0" borderId="2" xfId="1" applyNumberFormat="1" applyFont="1" applyBorder="1" applyAlignment="1">
      <alignment vertical="top"/>
    </xf>
    <xf numFmtId="166" fontId="3" fillId="0" borderId="0" xfId="1" applyNumberFormat="1" applyFont="1" applyAlignment="1">
      <alignment vertical="top"/>
    </xf>
    <xf numFmtId="165" fontId="5" fillId="0" borderId="2" xfId="1" applyNumberFormat="1" applyFont="1" applyBorder="1" applyAlignment="1">
      <alignment vertical="top"/>
    </xf>
    <xf numFmtId="10" fontId="1" fillId="4" borderId="0" xfId="1" applyNumberFormat="1" applyFill="1"/>
    <xf numFmtId="166" fontId="5" fillId="0" borderId="2" xfId="1" applyNumberFormat="1" applyFont="1" applyBorder="1" applyAlignment="1">
      <alignment vertical="top"/>
    </xf>
    <xf numFmtId="10" fontId="1" fillId="0" borderId="0" xfId="1" applyNumberFormat="1"/>
    <xf numFmtId="164" fontId="1" fillId="5" borderId="0" xfId="1" applyNumberFormat="1" applyFill="1"/>
    <xf numFmtId="164" fontId="1" fillId="4" borderId="0" xfId="1" applyNumberFormat="1" applyFill="1"/>
    <xf numFmtId="164" fontId="1" fillId="6" borderId="0" xfId="1" applyNumberFormat="1" applyFill="1"/>
    <xf numFmtId="164" fontId="2" fillId="0" borderId="0" xfId="1" applyNumberFormat="1" applyFont="1"/>
    <xf numFmtId="0" fontId="1" fillId="2" borderId="0" xfId="1" applyFill="1"/>
    <xf numFmtId="166" fontId="5" fillId="0" borderId="0" xfId="1" applyNumberFormat="1" applyFont="1" applyAlignment="1">
      <alignment vertical="top"/>
    </xf>
    <xf numFmtId="167" fontId="5" fillId="0" borderId="0" xfId="1" applyNumberFormat="1" applyFont="1" applyAlignment="1">
      <alignment vertical="top"/>
    </xf>
    <xf numFmtId="167" fontId="3" fillId="0" borderId="0" xfId="1" applyNumberFormat="1" applyFont="1" applyAlignment="1">
      <alignment vertical="top"/>
    </xf>
    <xf numFmtId="1" fontId="1" fillId="0" borderId="0" xfId="1" applyNumberFormat="1"/>
    <xf numFmtId="0" fontId="6" fillId="0" borderId="0" xfId="1" applyFont="1"/>
    <xf numFmtId="3" fontId="6" fillId="0" borderId="0" xfId="1" applyNumberFormat="1" applyFont="1" applyAlignment="1">
      <alignment horizontal="right"/>
    </xf>
    <xf numFmtId="3" fontId="6" fillId="0" borderId="3" xfId="1" applyNumberFormat="1" applyFont="1" applyBorder="1" applyAlignment="1">
      <alignment horizontal="right"/>
    </xf>
    <xf numFmtId="0" fontId="1" fillId="0" borderId="3" xfId="1" applyBorder="1"/>
    <xf numFmtId="0" fontId="6" fillId="0" borderId="3" xfId="1" applyFont="1" applyBorder="1"/>
    <xf numFmtId="164" fontId="7" fillId="0" borderId="0" xfId="1" applyNumberFormat="1" applyFont="1"/>
    <xf numFmtId="164" fontId="8" fillId="0" borderId="0" xfId="1" applyNumberFormat="1" applyFont="1" applyAlignment="1">
      <alignment vertical="top"/>
    </xf>
    <xf numFmtId="164" fontId="8" fillId="0" borderId="0" xfId="1" applyNumberFormat="1" applyFont="1"/>
    <xf numFmtId="164" fontId="6" fillId="0" borderId="0" xfId="1" applyNumberFormat="1" applyFont="1" applyAlignment="1">
      <alignment horizontal="right"/>
    </xf>
    <xf numFmtId="168" fontId="9" fillId="0" borderId="0" xfId="1" applyNumberFormat="1" applyFont="1" applyAlignment="1">
      <alignment horizontal="right"/>
    </xf>
    <xf numFmtId="0" fontId="1" fillId="0" borderId="0" xfId="1" applyAlignment="1">
      <alignment horizontal="right"/>
    </xf>
    <xf numFmtId="164" fontId="9" fillId="0" borderId="0" xfId="1" applyNumberFormat="1" applyFont="1" applyAlignment="1">
      <alignment horizontal="left"/>
    </xf>
    <xf numFmtId="1" fontId="6" fillId="0" borderId="0" xfId="1" applyNumberFormat="1" applyFont="1"/>
    <xf numFmtId="1" fontId="6" fillId="0" borderId="3" xfId="1" applyNumberFormat="1" applyFont="1" applyBorder="1"/>
    <xf numFmtId="164" fontId="1" fillId="0" borderId="0" xfId="1" applyNumberFormat="1" applyAlignment="1">
      <alignment vertical="top"/>
    </xf>
    <xf numFmtId="164" fontId="6" fillId="0" borderId="0" xfId="1" applyNumberFormat="1" applyFont="1"/>
    <xf numFmtId="3" fontId="6" fillId="0" borderId="0" xfId="1" applyNumberFormat="1" applyFont="1"/>
    <xf numFmtId="3" fontId="6" fillId="0" borderId="3" xfId="1" applyNumberFormat="1" applyFont="1" applyBorder="1"/>
    <xf numFmtId="164" fontId="6" fillId="0" borderId="3" xfId="1" applyNumberFormat="1" applyFont="1" applyBorder="1"/>
    <xf numFmtId="164" fontId="1" fillId="0" borderId="3" xfId="1" applyNumberFormat="1" applyBorder="1" applyAlignment="1">
      <alignment vertical="top"/>
    </xf>
    <xf numFmtId="164" fontId="10" fillId="0" borderId="0" xfId="1" applyNumberFormat="1" applyFont="1"/>
    <xf numFmtId="3" fontId="10" fillId="0" borderId="0" xfId="1" applyNumberFormat="1" applyFont="1"/>
    <xf numFmtId="164" fontId="9" fillId="0" borderId="0" xfId="1" applyNumberFormat="1" applyFont="1"/>
    <xf numFmtId="168" fontId="9" fillId="0" borderId="0" xfId="1" applyNumberFormat="1" applyFont="1"/>
    <xf numFmtId="164" fontId="9" fillId="0" borderId="0" xfId="1" applyNumberFormat="1" applyFont="1" applyAlignment="1">
      <alignment vertical="top"/>
    </xf>
    <xf numFmtId="0" fontId="1" fillId="7" borderId="0" xfId="1" applyFill="1"/>
  </cellXfs>
  <cellStyles count="2">
    <cellStyle name="Normal" xfId="0" builtinId="0"/>
    <cellStyle name="Normal 2" xfId="1" xr:uid="{32703763-0CF5-458B-B9BA-4C26292FC0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yd\OneDrive\Documents\Financial%20Models\GEN\TEMPSQRL.xlsx" TargetMode="External"/><Relationship Id="rId1" Type="http://schemas.openxmlformats.org/officeDocument/2006/relationships/externalLinkPath" Target="TEMPSQR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lance%20Shee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Contents"/>
      <sheetName val="InpC"/>
      <sheetName val="InpS"/>
      <sheetName val="InpT"/>
      <sheetName val="Time"/>
      <sheetName val="Unallocated"/>
      <sheetName val="Metrics"/>
      <sheetName val="Financials"/>
      <sheetName val="Customers"/>
      <sheetName val="Income"/>
      <sheetName val="Inventory"/>
      <sheetName val="Assets"/>
      <sheetName val="Expense"/>
      <sheetName val="Working Capital"/>
      <sheetName val="Invoice finance"/>
      <sheetName val="Supply Chain finance"/>
      <sheetName val="Asset Finance"/>
      <sheetName val="VAT"/>
      <sheetName val="Corporation tax"/>
      <sheetName val="Equity"/>
      <sheetName val="Model Checks and Alerts"/>
      <sheetName val="Income Statement Ann"/>
      <sheetName val="Balance Sheet Ann"/>
      <sheetName val="Cashflow Ann"/>
      <sheetName val="Inventory Report Ann"/>
      <sheetName val="Metrics Report Ann"/>
      <sheetName val="Income Statement"/>
      <sheetName val="Income Statement Qly"/>
      <sheetName val="Income Statement SemiAnnually"/>
      <sheetName val="Balance Sheet"/>
      <sheetName val="Balance Sheet Qly"/>
      <sheetName val="Balance Sheet SemiAnnually"/>
      <sheetName val="Cashflow"/>
      <sheetName val="Cashflow Qly"/>
      <sheetName val="Cashflow SemiAnnually"/>
      <sheetName val="Inventory Report"/>
      <sheetName val="Inventory Report Qly"/>
      <sheetName val="Inventory Report SemiAnnually"/>
      <sheetName val="Metrics Report"/>
      <sheetName val="Metrics Report Qly"/>
      <sheetName val="Metrics Report SemiAnnually"/>
      <sheetName val="Results Table"/>
      <sheetName val="Output"/>
      <sheetName val="Issues"/>
      <sheetName val="Sty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 refreshError="1"/>
      <sheetData sheetId="26" refreshError="1"/>
      <sheetData sheetId="27">
        <row r="8">
          <cell r="J8">
            <v>0</v>
          </cell>
        </row>
        <row r="9">
          <cell r="J9">
            <v>-21000</v>
          </cell>
        </row>
        <row r="10">
          <cell r="J10">
            <v>-25000</v>
          </cell>
        </row>
        <row r="11">
          <cell r="J11">
            <v>-46000</v>
          </cell>
        </row>
        <row r="13">
          <cell r="J13">
            <v>0</v>
          </cell>
        </row>
        <row r="14">
          <cell r="J14">
            <v>-46000</v>
          </cell>
        </row>
        <row r="16">
          <cell r="J16">
            <v>0</v>
          </cell>
        </row>
        <row r="17">
          <cell r="J17">
            <v>0</v>
          </cell>
        </row>
        <row r="18">
          <cell r="J18">
            <v>0</v>
          </cell>
        </row>
        <row r="19">
          <cell r="J19">
            <v>-46000</v>
          </cell>
        </row>
        <row r="21">
          <cell r="J21">
            <v>0</v>
          </cell>
        </row>
        <row r="22">
          <cell r="J22">
            <v>-46000</v>
          </cell>
        </row>
      </sheetData>
      <sheetData sheetId="28" refreshError="1"/>
      <sheetData sheetId="29" refreshError="1"/>
      <sheetData sheetId="30">
        <row r="16">
          <cell r="J16">
            <v>0</v>
          </cell>
        </row>
        <row r="18">
          <cell r="J18">
            <v>0</v>
          </cell>
        </row>
      </sheetData>
      <sheetData sheetId="31" refreshError="1"/>
      <sheetData sheetId="32" refreshError="1"/>
      <sheetData sheetId="33"/>
      <sheetData sheetId="34" refreshError="1"/>
      <sheetData sheetId="35" refreshError="1"/>
      <sheetData sheetId="36">
        <row r="10">
          <cell r="J10">
            <v>500</v>
          </cell>
        </row>
        <row r="12">
          <cell r="J12">
            <v>5000</v>
          </cell>
        </row>
        <row r="15">
          <cell r="J15">
            <v>0</v>
          </cell>
        </row>
        <row r="17">
          <cell r="J17">
            <v>0</v>
          </cell>
        </row>
        <row r="18">
          <cell r="J18">
            <v>0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e Shee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CA3D-BD64-4464-B0F4-D4F6F4C40469}">
  <dimension ref="A1:J31"/>
  <sheetViews>
    <sheetView tabSelected="1" workbookViewId="0">
      <selection activeCell="C33" sqref="C33"/>
    </sheetView>
  </sheetViews>
  <sheetFormatPr defaultRowHeight="14.25" x14ac:dyDescent="0.45"/>
  <cols>
    <col min="1" max="3" width="21.73046875" style="1" customWidth="1"/>
    <col min="4" max="4" width="32.73046875" style="1" customWidth="1"/>
    <col min="5" max="5" width="21.73046875" style="1" customWidth="1"/>
    <col min="6" max="6" width="41.73046875" style="1" customWidth="1"/>
    <col min="7" max="7" width="31.73046875" style="1" customWidth="1"/>
    <col min="8" max="8" width="30.73046875" style="1" customWidth="1"/>
    <col min="9" max="21" width="21.73046875" style="1" customWidth="1"/>
    <col min="22" max="16384" width="9.06640625" style="1"/>
  </cols>
  <sheetData>
    <row r="1" spans="1:10" ht="17.25" x14ac:dyDescent="0.45">
      <c r="A1" s="49" t="s">
        <v>173</v>
      </c>
      <c r="B1" s="3"/>
    </row>
    <row r="2" spans="1:10" ht="17.25" x14ac:dyDescent="0.45">
      <c r="B2" s="3"/>
    </row>
    <row r="3" spans="1:10" x14ac:dyDescent="0.45">
      <c r="B3" s="1" t="s">
        <v>23</v>
      </c>
      <c r="G3" s="1" t="s">
        <v>22</v>
      </c>
    </row>
    <row r="4" spans="1:10" x14ac:dyDescent="0.45">
      <c r="B4" s="1" t="s">
        <v>8</v>
      </c>
      <c r="C4" s="1" t="s">
        <v>7</v>
      </c>
      <c r="D4" s="1" t="s">
        <v>6</v>
      </c>
      <c r="E4" s="1" t="s">
        <v>5</v>
      </c>
      <c r="F4" s="1" t="s">
        <v>16</v>
      </c>
      <c r="G4" s="1" t="s">
        <v>15</v>
      </c>
      <c r="H4" s="1" t="s">
        <v>12</v>
      </c>
    </row>
    <row r="5" spans="1:10" x14ac:dyDescent="0.45">
      <c r="A5" s="1" t="s">
        <v>3</v>
      </c>
      <c r="B5" s="1">
        <v>30</v>
      </c>
      <c r="C5" s="1">
        <v>110</v>
      </c>
      <c r="D5" s="1">
        <v>1340</v>
      </c>
      <c r="E5" s="1">
        <v>350</v>
      </c>
      <c r="F5" s="1" t="s">
        <v>10</v>
      </c>
    </row>
    <row r="6" spans="1:10" x14ac:dyDescent="0.45">
      <c r="A6" s="1" t="s">
        <v>2</v>
      </c>
      <c r="B6" s="1">
        <f>B5</f>
        <v>30</v>
      </c>
      <c r="C6" s="1">
        <f>C5</f>
        <v>110</v>
      </c>
      <c r="D6" s="1">
        <f>D5</f>
        <v>1340</v>
      </c>
      <c r="E6" s="1">
        <f>IF(G6="Hide",30,E5)</f>
        <v>350</v>
      </c>
      <c r="F6" s="1" t="s">
        <v>10</v>
      </c>
      <c r="G6" s="1" t="s">
        <v>15</v>
      </c>
    </row>
    <row r="7" spans="1:10" s="2" customFormat="1" x14ac:dyDescent="0.45"/>
    <row r="8" spans="1:10" x14ac:dyDescent="0.45">
      <c r="B8" s="1" t="s">
        <v>21</v>
      </c>
      <c r="G8" s="1" t="s">
        <v>20</v>
      </c>
    </row>
    <row r="9" spans="1:10" x14ac:dyDescent="0.45">
      <c r="B9" s="1" t="s">
        <v>8</v>
      </c>
      <c r="C9" s="1" t="s">
        <v>7</v>
      </c>
      <c r="D9" s="1" t="s">
        <v>6</v>
      </c>
      <c r="E9" s="1" t="s">
        <v>5</v>
      </c>
      <c r="F9" s="1" t="s">
        <v>16</v>
      </c>
      <c r="G9" s="1" t="s">
        <v>15</v>
      </c>
      <c r="H9" s="1" t="s">
        <v>12</v>
      </c>
    </row>
    <row r="10" spans="1:10" x14ac:dyDescent="0.45">
      <c r="A10" s="1" t="s">
        <v>4</v>
      </c>
      <c r="C10" s="1">
        <v>20</v>
      </c>
    </row>
    <row r="11" spans="1:10" x14ac:dyDescent="0.45">
      <c r="A11" s="1" t="s">
        <v>3</v>
      </c>
      <c r="B11" s="1">
        <v>30</v>
      </c>
      <c r="C11" s="1">
        <f>C6+E6+C10</f>
        <v>480</v>
      </c>
      <c r="D11" s="1">
        <v>1340</v>
      </c>
      <c r="E11" s="1">
        <v>1080</v>
      </c>
      <c r="F11" s="1" t="s">
        <v>13</v>
      </c>
      <c r="G11" s="1" t="s">
        <v>15</v>
      </c>
    </row>
    <row r="12" spans="1:10" x14ac:dyDescent="0.45">
      <c r="A12" s="1" t="s">
        <v>2</v>
      </c>
      <c r="B12" s="1">
        <f>B11</f>
        <v>30</v>
      </c>
      <c r="C12" s="1">
        <f>C11</f>
        <v>480</v>
      </c>
      <c r="D12" s="1">
        <f>D11</f>
        <v>1340</v>
      </c>
      <c r="E12" s="1">
        <f>E11</f>
        <v>1080</v>
      </c>
      <c r="F12" s="1" t="s">
        <v>10</v>
      </c>
    </row>
    <row r="13" spans="1:10" s="2" customFormat="1" x14ac:dyDescent="0.45"/>
    <row r="14" spans="1:10" x14ac:dyDescent="0.45">
      <c r="B14" s="1" t="s">
        <v>19</v>
      </c>
      <c r="G14" s="1" t="s">
        <v>18</v>
      </c>
      <c r="I14" s="1" t="s">
        <v>17</v>
      </c>
    </row>
    <row r="15" spans="1:10" x14ac:dyDescent="0.45">
      <c r="B15" s="1" t="s">
        <v>8</v>
      </c>
      <c r="C15" s="1" t="s">
        <v>7</v>
      </c>
      <c r="D15" s="1" t="s">
        <v>6</v>
      </c>
      <c r="E15" s="1" t="s">
        <v>5</v>
      </c>
      <c r="F15" s="1" t="s">
        <v>16</v>
      </c>
      <c r="G15" s="1" t="s">
        <v>15</v>
      </c>
      <c r="H15" s="1" t="s">
        <v>12</v>
      </c>
      <c r="I15" s="1" t="s">
        <v>11</v>
      </c>
      <c r="J15" s="1" t="s">
        <v>14</v>
      </c>
    </row>
    <row r="16" spans="1:10" x14ac:dyDescent="0.45">
      <c r="A16" s="1" t="s">
        <v>4</v>
      </c>
      <c r="C16" s="1">
        <v>20</v>
      </c>
    </row>
    <row r="17" spans="1:9" x14ac:dyDescent="0.45">
      <c r="A17" s="1" t="s">
        <v>3</v>
      </c>
      <c r="B17" s="1">
        <v>30</v>
      </c>
      <c r="C17" s="1">
        <f>C12+E12+C16</f>
        <v>1580</v>
      </c>
      <c r="D17" s="1">
        <v>1340</v>
      </c>
      <c r="E17" s="1">
        <v>1200</v>
      </c>
      <c r="F17" s="1" t="s">
        <v>13</v>
      </c>
      <c r="G17" s="1" t="s">
        <v>12</v>
      </c>
      <c r="I17" s="1" t="s">
        <v>11</v>
      </c>
    </row>
    <row r="18" spans="1:9" x14ac:dyDescent="0.45">
      <c r="A18" s="1" t="s">
        <v>2</v>
      </c>
      <c r="B18" s="1">
        <f>B17</f>
        <v>30</v>
      </c>
      <c r="C18" s="1">
        <f>C17</f>
        <v>1580</v>
      </c>
      <c r="D18" s="1">
        <f>D17</f>
        <v>1340</v>
      </c>
      <c r="E18" s="1">
        <f>IF(G17="Hide",30,E17)</f>
        <v>30</v>
      </c>
      <c r="F18" s="1" t="s">
        <v>10</v>
      </c>
    </row>
    <row r="19" spans="1:9" s="2" customFormat="1" x14ac:dyDescent="0.45"/>
    <row r="20" spans="1:9" x14ac:dyDescent="0.45">
      <c r="B20" s="1" t="s">
        <v>9</v>
      </c>
    </row>
    <row r="21" spans="1:9" x14ac:dyDescent="0.45">
      <c r="B21" s="1" t="s">
        <v>8</v>
      </c>
      <c r="C21" s="1" t="s">
        <v>7</v>
      </c>
      <c r="D21" s="1" t="s">
        <v>6</v>
      </c>
      <c r="E21" s="1" t="s">
        <v>5</v>
      </c>
    </row>
    <row r="22" spans="1:9" x14ac:dyDescent="0.45">
      <c r="A22" s="1" t="s">
        <v>4</v>
      </c>
      <c r="C22" s="1">
        <v>50</v>
      </c>
    </row>
    <row r="23" spans="1:9" x14ac:dyDescent="0.45">
      <c r="A23" s="1" t="s">
        <v>3</v>
      </c>
      <c r="B23" s="1">
        <v>1440</v>
      </c>
      <c r="C23" s="1">
        <f>C18+E18+C22</f>
        <v>1660</v>
      </c>
    </row>
    <row r="24" spans="1:9" x14ac:dyDescent="0.45">
      <c r="A24" s="1" t="s">
        <v>2</v>
      </c>
    </row>
    <row r="29" spans="1:9" x14ac:dyDescent="0.45">
      <c r="A29" s="49" t="s">
        <v>174</v>
      </c>
    </row>
    <row r="30" spans="1:9" x14ac:dyDescent="0.45">
      <c r="B30" s="1" t="s">
        <v>1</v>
      </c>
    </row>
    <row r="31" spans="1:9" x14ac:dyDescent="0.45">
      <c r="A31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5CE58-A082-45FF-B337-D63A86F3507E}">
  <dimension ref="A1:IQ81"/>
  <sheetViews>
    <sheetView tabSelected="1" workbookViewId="0">
      <selection activeCell="C33" sqref="C33"/>
    </sheetView>
  </sheetViews>
  <sheetFormatPr defaultRowHeight="14.25" x14ac:dyDescent="0.45"/>
  <cols>
    <col min="1" max="1" width="9.06640625" style="4"/>
    <col min="2" max="2" width="19.73046875" style="4" customWidth="1"/>
    <col min="3" max="3" width="32.73046875" style="4" customWidth="1"/>
    <col min="4" max="4" width="25.73046875" style="4" customWidth="1"/>
    <col min="5" max="5" width="20.73046875" style="4" customWidth="1"/>
    <col min="6" max="6" width="9.06640625" style="4"/>
    <col min="7" max="7" width="37.73046875" style="4" customWidth="1"/>
    <col min="8" max="8" width="42.73046875" style="4" customWidth="1"/>
    <col min="9" max="9" width="14.73046875" style="4" customWidth="1"/>
    <col min="10" max="11" width="9.06640625" style="4"/>
    <col min="12" max="12" width="27.73046875" style="4" customWidth="1"/>
    <col min="13" max="16" width="9.06640625" style="4"/>
    <col min="17" max="18" width="8.73046875" style="4" customWidth="1"/>
    <col min="19" max="19" width="15.73046875" style="4" customWidth="1"/>
    <col min="20" max="251" width="9.06640625" style="4"/>
    <col min="252" max="16384" width="9.06640625" style="1"/>
  </cols>
  <sheetData>
    <row r="1" spans="3:23" ht="17.25" x14ac:dyDescent="0.6">
      <c r="C1" s="18" t="s">
        <v>142</v>
      </c>
      <c r="D1" s="18" t="s">
        <v>141</v>
      </c>
      <c r="E1" s="18" t="s">
        <v>140</v>
      </c>
      <c r="H1" s="18" t="s">
        <v>139</v>
      </c>
      <c r="L1" s="18" t="s">
        <v>138</v>
      </c>
    </row>
    <row r="2" spans="3:23" ht="17" customHeight="1" x14ac:dyDescent="0.45">
      <c r="C2" s="1" t="s">
        <v>137</v>
      </c>
      <c r="D2" s="1" t="s">
        <v>136</v>
      </c>
      <c r="E2" s="1" t="s">
        <v>135</v>
      </c>
      <c r="H2" s="1" t="s">
        <v>134</v>
      </c>
    </row>
    <row r="3" spans="3:23" x14ac:dyDescent="0.45">
      <c r="C3" s="1" t="s">
        <v>133</v>
      </c>
      <c r="D3" s="19">
        <v>0.3</v>
      </c>
      <c r="H3" s="20" t="s">
        <v>132</v>
      </c>
      <c r="I3" s="13">
        <f>D15</f>
        <v>0.9</v>
      </c>
      <c r="J3" s="20" t="s">
        <v>31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3:23" x14ac:dyDescent="0.45">
      <c r="C4" s="1" t="s">
        <v>131</v>
      </c>
      <c r="D4" s="19">
        <v>6</v>
      </c>
      <c r="H4" s="5" t="s">
        <v>130</v>
      </c>
      <c r="I4" s="8">
        <f>D10</f>
        <v>500</v>
      </c>
      <c r="J4" s="5" t="s">
        <v>80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3:23" x14ac:dyDescent="0.45">
      <c r="C5" s="1" t="s">
        <v>129</v>
      </c>
      <c r="D5" s="19">
        <v>35</v>
      </c>
      <c r="H5" s="10" t="s">
        <v>128</v>
      </c>
      <c r="I5" s="13">
        <f>D14</f>
        <v>1</v>
      </c>
      <c r="J5" s="10" t="s">
        <v>31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3:23" ht="17.25" x14ac:dyDescent="0.6">
      <c r="C6" s="1" t="s">
        <v>127</v>
      </c>
      <c r="D6" s="19">
        <v>5000</v>
      </c>
      <c r="H6" s="5" t="s">
        <v>126</v>
      </c>
      <c r="I6" s="8">
        <v>1</v>
      </c>
      <c r="J6" s="5"/>
      <c r="K6" s="1"/>
      <c r="L6" s="18" t="s">
        <v>125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3:23" x14ac:dyDescent="0.45">
      <c r="C7" s="1" t="s">
        <v>124</v>
      </c>
      <c r="D7" s="19">
        <v>1000</v>
      </c>
      <c r="H7" s="5" t="s">
        <v>123</v>
      </c>
      <c r="I7" s="8"/>
      <c r="J7" s="5" t="s">
        <v>80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3:23" ht="17.25" x14ac:dyDescent="0.6">
      <c r="D8" s="1"/>
      <c r="H8" s="5" t="s">
        <v>122</v>
      </c>
      <c r="I8" s="8">
        <f>D11</f>
        <v>2</v>
      </c>
      <c r="J8" s="5" t="s">
        <v>87</v>
      </c>
      <c r="K8" s="1"/>
      <c r="L8" s="18" t="s">
        <v>87</v>
      </c>
      <c r="M8" s="18" t="s">
        <v>121</v>
      </c>
      <c r="N8" s="1"/>
      <c r="O8" s="1"/>
      <c r="P8" s="1"/>
      <c r="Q8" s="1"/>
      <c r="R8" s="1"/>
      <c r="S8" s="1"/>
      <c r="T8" s="1"/>
      <c r="U8" s="1"/>
      <c r="V8" s="1"/>
      <c r="W8" s="1"/>
    </row>
    <row r="9" spans="3:23" x14ac:dyDescent="0.45">
      <c r="C9" s="1" t="s">
        <v>120</v>
      </c>
      <c r="D9" s="19"/>
      <c r="H9" s="5" t="s">
        <v>119</v>
      </c>
      <c r="I9" s="8">
        <f>D12</f>
        <v>35</v>
      </c>
      <c r="J9" s="5" t="s">
        <v>34</v>
      </c>
      <c r="K9" s="1"/>
      <c r="L9" s="1" t="s">
        <v>118</v>
      </c>
      <c r="M9" s="1">
        <v>2023</v>
      </c>
      <c r="N9" s="1"/>
      <c r="O9" s="1"/>
      <c r="P9" s="1"/>
      <c r="Q9" s="1"/>
      <c r="R9" s="1"/>
      <c r="S9" s="1"/>
      <c r="T9" s="1"/>
      <c r="U9" s="1"/>
      <c r="V9" s="1"/>
      <c r="W9" s="1"/>
    </row>
    <row r="10" spans="3:23" x14ac:dyDescent="0.45">
      <c r="C10" s="1" t="s">
        <v>117</v>
      </c>
      <c r="D10" s="19">
        <v>500</v>
      </c>
      <c r="H10" s="5" t="s">
        <v>116</v>
      </c>
      <c r="I10" s="8">
        <f>D13</f>
        <v>24</v>
      </c>
      <c r="J10" s="5" t="s">
        <v>87</v>
      </c>
      <c r="K10" s="1"/>
      <c r="L10" s="1" t="s">
        <v>115</v>
      </c>
      <c r="M10" s="1">
        <v>2024</v>
      </c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3:23" ht="15" customHeight="1" x14ac:dyDescent="0.45">
      <c r="C11" s="1" t="s">
        <v>114</v>
      </c>
      <c r="D11" s="19">
        <v>2</v>
      </c>
      <c r="H11" s="5" t="s">
        <v>113</v>
      </c>
      <c r="I11" s="8">
        <v>12</v>
      </c>
      <c r="J11" s="5" t="s">
        <v>87</v>
      </c>
      <c r="K11" s="1"/>
      <c r="L11" s="1" t="s">
        <v>112</v>
      </c>
      <c r="M11" s="1">
        <v>2025</v>
      </c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3:23" ht="19.05" customHeight="1" x14ac:dyDescent="0.45">
      <c r="C12" s="1" t="s">
        <v>111</v>
      </c>
      <c r="D12" s="19">
        <v>35</v>
      </c>
      <c r="I12" s="1"/>
      <c r="L12" s="1" t="s">
        <v>110</v>
      </c>
      <c r="M12" s="1">
        <v>2026</v>
      </c>
      <c r="P12" s="1"/>
      <c r="Q12" s="1"/>
      <c r="T12" s="1"/>
    </row>
    <row r="13" spans="3:23" x14ac:dyDescent="0.45">
      <c r="C13" s="1" t="s">
        <v>109</v>
      </c>
      <c r="D13" s="19">
        <v>24</v>
      </c>
      <c r="I13" s="1"/>
      <c r="L13" s="1" t="s">
        <v>108</v>
      </c>
      <c r="M13" s="1">
        <v>2027</v>
      </c>
      <c r="P13" s="1"/>
      <c r="Q13" s="1"/>
      <c r="U13" s="1"/>
    </row>
    <row r="14" spans="3:23" x14ac:dyDescent="0.45">
      <c r="C14" s="1" t="s">
        <v>107</v>
      </c>
      <c r="D14" s="19">
        <v>1</v>
      </c>
      <c r="H14" s="5" t="s">
        <v>106</v>
      </c>
      <c r="I14" s="8">
        <f>D18</f>
        <v>25000</v>
      </c>
      <c r="J14" s="5" t="s">
        <v>34</v>
      </c>
      <c r="K14" s="1"/>
      <c r="L14" s="1" t="s">
        <v>105</v>
      </c>
      <c r="M14" s="1">
        <v>2028</v>
      </c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3:23" x14ac:dyDescent="0.45">
      <c r="C15" s="1" t="s">
        <v>104</v>
      </c>
      <c r="D15" s="19">
        <v>0.9</v>
      </c>
      <c r="H15" s="10" t="s">
        <v>103</v>
      </c>
      <c r="I15" s="13">
        <f>D19</f>
        <v>0.1</v>
      </c>
      <c r="J15" s="10" t="s">
        <v>31</v>
      </c>
      <c r="K15" s="1"/>
      <c r="L15" s="1" t="s">
        <v>102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3:23" x14ac:dyDescent="0.45">
      <c r="D16" s="1"/>
      <c r="H16" s="5" t="s">
        <v>101</v>
      </c>
      <c r="I16" s="8">
        <v>3</v>
      </c>
      <c r="J16" s="5" t="s">
        <v>87</v>
      </c>
      <c r="K16" s="1"/>
      <c r="L16" s="1" t="s">
        <v>100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51" x14ac:dyDescent="0.45">
      <c r="C17" s="1" t="s">
        <v>99</v>
      </c>
      <c r="D17" s="19"/>
      <c r="H17" s="10" t="s">
        <v>98</v>
      </c>
      <c r="I17" s="13">
        <f>D20</f>
        <v>0.05</v>
      </c>
      <c r="J17" s="10" t="s">
        <v>31</v>
      </c>
      <c r="K17" s="1"/>
      <c r="L17" s="1" t="s">
        <v>97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51" x14ac:dyDescent="0.45">
      <c r="C18" s="1" t="s">
        <v>96</v>
      </c>
      <c r="D18" s="19">
        <v>25000</v>
      </c>
      <c r="I18" s="1"/>
      <c r="L18" s="1" t="s">
        <v>95</v>
      </c>
      <c r="T18" s="1"/>
    </row>
    <row r="19" spans="1:251" x14ac:dyDescent="0.45">
      <c r="C19" s="1" t="s">
        <v>94</v>
      </c>
      <c r="D19" s="19">
        <v>0.1</v>
      </c>
      <c r="I19" s="1"/>
      <c r="L19" s="1" t="s">
        <v>93</v>
      </c>
      <c r="M19" s="1"/>
      <c r="T19" s="1"/>
    </row>
    <row r="20" spans="1:251" x14ac:dyDescent="0.45">
      <c r="C20" s="1" t="s">
        <v>92</v>
      </c>
      <c r="D20" s="19">
        <v>0.05</v>
      </c>
      <c r="H20" s="5" t="s">
        <v>91</v>
      </c>
      <c r="I20" s="8">
        <f>D7</f>
        <v>1000</v>
      </c>
      <c r="J20" s="5" t="s">
        <v>80</v>
      </c>
      <c r="K20" s="1"/>
      <c r="L20" s="1" t="s">
        <v>90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51" x14ac:dyDescent="0.45">
      <c r="C21" s="1"/>
      <c r="D21" s="1"/>
      <c r="H21" s="10" t="s">
        <v>89</v>
      </c>
      <c r="I21" s="13">
        <f>D3</f>
        <v>0.3</v>
      </c>
      <c r="J21" s="10" t="s">
        <v>31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51" x14ac:dyDescent="0.45">
      <c r="D22" s="1"/>
      <c r="H22" s="5" t="s">
        <v>88</v>
      </c>
      <c r="I22" s="8">
        <f>D4</f>
        <v>6</v>
      </c>
      <c r="J22" s="5" t="s">
        <v>87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51" x14ac:dyDescent="0.45">
      <c r="D23" s="1"/>
      <c r="H23" s="5" t="s">
        <v>86</v>
      </c>
      <c r="I23" s="8">
        <f>D5</f>
        <v>35</v>
      </c>
      <c r="J23" s="5" t="s">
        <v>34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51" x14ac:dyDescent="0.45">
      <c r="D24" s="1"/>
      <c r="H24" s="5" t="s">
        <v>85</v>
      </c>
      <c r="I24" s="8">
        <f>D6</f>
        <v>5000</v>
      </c>
      <c r="J24" s="5" t="s">
        <v>80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51" x14ac:dyDescent="0.45">
      <c r="D25" s="1"/>
      <c r="I25" s="1"/>
      <c r="L25" s="1"/>
      <c r="M25" s="1"/>
      <c r="T25" s="1"/>
      <c r="V25" s="1"/>
    </row>
    <row r="26" spans="1:251" x14ac:dyDescent="0.45">
      <c r="D26" s="1"/>
      <c r="I26" s="1"/>
      <c r="L26" s="1"/>
      <c r="M26" s="1"/>
    </row>
    <row r="27" spans="1:251" x14ac:dyDescent="0.45">
      <c r="D27" s="1"/>
      <c r="H27" s="5" t="s">
        <v>84</v>
      </c>
      <c r="I27" s="8"/>
      <c r="J27" s="5" t="s">
        <v>80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51" x14ac:dyDescent="0.45">
      <c r="D28" s="1"/>
      <c r="E28" s="1" t="s">
        <v>61</v>
      </c>
      <c r="H28" s="5" t="s">
        <v>83</v>
      </c>
      <c r="I28" s="8"/>
      <c r="J28" s="5" t="s">
        <v>80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51" x14ac:dyDescent="0.45">
      <c r="B29" s="1"/>
      <c r="C29" s="1" t="s">
        <v>82</v>
      </c>
      <c r="D29" s="16" t="s">
        <v>56</v>
      </c>
      <c r="E29" s="17">
        <f>IF(D29="unchecked",0,DATE(D31,D30,"01"))</f>
        <v>0</v>
      </c>
      <c r="H29" s="5" t="s">
        <v>81</v>
      </c>
      <c r="I29" s="8"/>
      <c r="J29" s="5" t="s">
        <v>80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51" x14ac:dyDescent="0.45">
      <c r="A30" s="1"/>
      <c r="B30" s="1"/>
      <c r="C30" s="1" t="s">
        <v>79</v>
      </c>
      <c r="D30" s="16">
        <v>5</v>
      </c>
      <c r="E30" s="1"/>
      <c r="G30" s="1"/>
      <c r="I30" s="1"/>
      <c r="K30" s="1"/>
      <c r="N30" s="1"/>
      <c r="O30" s="1"/>
      <c r="P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</row>
    <row r="31" spans="1:251" x14ac:dyDescent="0.45">
      <c r="A31" s="1"/>
      <c r="B31" s="1"/>
      <c r="C31" s="1" t="s">
        <v>78</v>
      </c>
      <c r="D31" s="16">
        <v>2023</v>
      </c>
      <c r="E31" s="1" t="s">
        <v>51</v>
      </c>
      <c r="G31" s="1"/>
      <c r="I31" s="1"/>
      <c r="K31" s="1"/>
      <c r="N31" s="1"/>
      <c r="O31" s="1"/>
      <c r="P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</row>
    <row r="32" spans="1:251" x14ac:dyDescent="0.45">
      <c r="A32" s="1"/>
      <c r="B32" s="1"/>
      <c r="C32" s="1"/>
      <c r="D32" s="1"/>
      <c r="E32" s="17">
        <f>IF(D29="unchecked",0,DATE(D34,D33,1))</f>
        <v>0</v>
      </c>
      <c r="G32" s="1"/>
      <c r="H32" s="5" t="s">
        <v>77</v>
      </c>
      <c r="I32" s="8"/>
      <c r="J32" s="5" t="s">
        <v>34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</row>
    <row r="33" spans="1:251" x14ac:dyDescent="0.45">
      <c r="A33" s="1"/>
      <c r="B33" s="1"/>
      <c r="C33" s="1" t="s">
        <v>76</v>
      </c>
      <c r="D33" s="16">
        <v>4</v>
      </c>
      <c r="E33" s="1"/>
      <c r="G33" s="1"/>
      <c r="H33" s="5" t="s">
        <v>75</v>
      </c>
      <c r="I33" s="8"/>
      <c r="J33" s="5" t="s">
        <v>34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</row>
    <row r="34" spans="1:251" x14ac:dyDescent="0.45">
      <c r="A34" s="1"/>
      <c r="B34" s="1"/>
      <c r="C34" s="1" t="s">
        <v>74</v>
      </c>
      <c r="D34" s="16">
        <v>2028</v>
      </c>
      <c r="E34" s="1"/>
      <c r="G34" s="1"/>
      <c r="H34" s="5" t="s">
        <v>73</v>
      </c>
      <c r="I34" s="8"/>
      <c r="J34" s="5" t="s">
        <v>34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</row>
    <row r="35" spans="1:251" x14ac:dyDescent="0.45">
      <c r="C35" s="1"/>
      <c r="D35" s="1"/>
      <c r="E35" s="1" t="s">
        <v>61</v>
      </c>
      <c r="H35" s="5" t="s">
        <v>72</v>
      </c>
      <c r="I35" s="8"/>
      <c r="J35" s="5" t="s">
        <v>34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51" x14ac:dyDescent="0.45">
      <c r="C36" s="1" t="s">
        <v>71</v>
      </c>
      <c r="D36" s="16" t="s">
        <v>56</v>
      </c>
      <c r="E36" s="17">
        <f>IF(D36="unchecked",0,DATE(D38,D37,"01"))</f>
        <v>0</v>
      </c>
      <c r="H36" s="5" t="s">
        <v>70</v>
      </c>
      <c r="I36" s="8"/>
      <c r="J36" s="5" t="s">
        <v>34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51" x14ac:dyDescent="0.45">
      <c r="C37" s="1" t="s">
        <v>69</v>
      </c>
      <c r="D37" s="16">
        <v>5</v>
      </c>
      <c r="H37" s="5" t="s">
        <v>68</v>
      </c>
      <c r="I37" s="8"/>
      <c r="J37" s="5" t="s">
        <v>34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51" x14ac:dyDescent="0.45">
      <c r="C38" s="1" t="s">
        <v>67</v>
      </c>
      <c r="D38" s="16">
        <v>2023</v>
      </c>
      <c r="E38" s="1" t="s">
        <v>51</v>
      </c>
      <c r="H38" s="5" t="s">
        <v>66</v>
      </c>
      <c r="I38" s="8"/>
      <c r="J38" s="5" t="s">
        <v>34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51" x14ac:dyDescent="0.45">
      <c r="D39" s="1"/>
      <c r="E39" s="17">
        <f>IF(D36="unchecked",0,DATE(D41,D40,1))</f>
        <v>0</v>
      </c>
      <c r="I39" s="1"/>
      <c r="L39" s="1"/>
      <c r="M39" s="1"/>
      <c r="Q39" s="1"/>
    </row>
    <row r="40" spans="1:251" ht="17.25" x14ac:dyDescent="0.6">
      <c r="C40" s="1" t="s">
        <v>65</v>
      </c>
      <c r="D40" s="16">
        <v>4</v>
      </c>
      <c r="E40" s="1"/>
      <c r="I40" s="1"/>
      <c r="L40" s="18" t="s">
        <v>64</v>
      </c>
      <c r="M40" s="1"/>
      <c r="Q40" s="1"/>
    </row>
    <row r="41" spans="1:251" x14ac:dyDescent="0.45">
      <c r="C41" s="1" t="s">
        <v>63</v>
      </c>
      <c r="D41" s="16">
        <v>2028</v>
      </c>
      <c r="E41" s="1"/>
      <c r="H41" s="5" t="s">
        <v>62</v>
      </c>
      <c r="I41" s="8">
        <v>30</v>
      </c>
      <c r="J41" s="5" t="s">
        <v>59</v>
      </c>
      <c r="K41" s="1"/>
      <c r="L41" s="1" t="s">
        <v>11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51" x14ac:dyDescent="0.45">
      <c r="C42" s="1"/>
      <c r="D42" s="1"/>
      <c r="E42" s="1" t="s">
        <v>61</v>
      </c>
      <c r="H42" s="5" t="s">
        <v>60</v>
      </c>
      <c r="I42" s="8">
        <v>360</v>
      </c>
      <c r="J42" s="5" t="s">
        <v>59</v>
      </c>
      <c r="K42" s="1"/>
      <c r="L42" s="4" t="s">
        <v>58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51" x14ac:dyDescent="0.45">
      <c r="C43" s="1" t="s">
        <v>57</v>
      </c>
      <c r="D43" s="16" t="s">
        <v>56</v>
      </c>
      <c r="E43" s="17">
        <f>IF(D43="unchecked",0,DATE(D45,D44,"01"))</f>
        <v>0</v>
      </c>
      <c r="I43" s="1"/>
      <c r="L43" s="1" t="s">
        <v>55</v>
      </c>
      <c r="M43" s="1"/>
    </row>
    <row r="44" spans="1:251" x14ac:dyDescent="0.45">
      <c r="C44" s="1" t="s">
        <v>54</v>
      </c>
      <c r="D44" s="16">
        <v>5</v>
      </c>
      <c r="I44" s="1"/>
      <c r="L44" s="1" t="s">
        <v>53</v>
      </c>
    </row>
    <row r="45" spans="1:251" x14ac:dyDescent="0.45">
      <c r="C45" s="1" t="s">
        <v>52</v>
      </c>
      <c r="D45" s="16">
        <v>2023</v>
      </c>
      <c r="E45" s="1" t="s">
        <v>51</v>
      </c>
      <c r="H45" s="7" t="s">
        <v>50</v>
      </c>
      <c r="I45" s="8">
        <f>E29</f>
        <v>0</v>
      </c>
      <c r="J45" s="7" t="s">
        <v>37</v>
      </c>
      <c r="L45" s="1" t="s">
        <v>49</v>
      </c>
    </row>
    <row r="46" spans="1:251" x14ac:dyDescent="0.45">
      <c r="C46" s="1"/>
      <c r="D46" s="1"/>
      <c r="E46" s="17">
        <f>IF(D43="unchecked",0,DATE(D48,D47,1))</f>
        <v>0</v>
      </c>
      <c r="H46" s="7" t="s">
        <v>48</v>
      </c>
      <c r="I46" s="8">
        <f>E32</f>
        <v>0</v>
      </c>
      <c r="J46" s="7" t="s">
        <v>37</v>
      </c>
    </row>
    <row r="47" spans="1:251" x14ac:dyDescent="0.45">
      <c r="C47" s="1" t="s">
        <v>47</v>
      </c>
      <c r="D47" s="16">
        <v>4</v>
      </c>
      <c r="E47" s="1"/>
      <c r="H47" s="10" t="s">
        <v>46</v>
      </c>
      <c r="I47" s="9">
        <f>D51</f>
        <v>0.9</v>
      </c>
      <c r="J47" s="10" t="s">
        <v>31</v>
      </c>
    </row>
    <row r="48" spans="1:251" x14ac:dyDescent="0.45">
      <c r="C48" s="1" t="s">
        <v>45</v>
      </c>
      <c r="D48" s="16">
        <v>2028</v>
      </c>
      <c r="E48" s="1"/>
      <c r="H48" s="10" t="s">
        <v>44</v>
      </c>
      <c r="I48" s="9">
        <f>D50</f>
        <v>8.5000000000000006E-2</v>
      </c>
      <c r="J48" s="10" t="s">
        <v>31</v>
      </c>
    </row>
    <row r="49" spans="3:27" x14ac:dyDescent="0.45">
      <c r="C49" s="1"/>
      <c r="D49" s="1"/>
      <c r="E49" s="15"/>
      <c r="H49" s="5" t="s">
        <v>43</v>
      </c>
      <c r="I49" s="8"/>
      <c r="J49" s="5" t="s">
        <v>34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3:27" x14ac:dyDescent="0.45">
      <c r="C50" s="1" t="s">
        <v>42</v>
      </c>
      <c r="D50" s="12">
        <v>8.5000000000000006E-2</v>
      </c>
      <c r="I50" s="1"/>
    </row>
    <row r="51" spans="3:27" x14ac:dyDescent="0.45">
      <c r="C51" s="1" t="s">
        <v>41</v>
      </c>
      <c r="D51" s="12">
        <v>0.9</v>
      </c>
      <c r="I51" s="1"/>
    </row>
    <row r="52" spans="3:27" x14ac:dyDescent="0.45">
      <c r="D52" s="14"/>
      <c r="H52" s="7" t="s">
        <v>40</v>
      </c>
      <c r="I52" s="8">
        <f>E39</f>
        <v>0</v>
      </c>
      <c r="J52" s="7" t="s">
        <v>37</v>
      </c>
    </row>
    <row r="53" spans="3:27" x14ac:dyDescent="0.45">
      <c r="C53" s="1" t="s">
        <v>39</v>
      </c>
      <c r="D53" s="12">
        <v>0.08</v>
      </c>
      <c r="H53" s="7" t="s">
        <v>38</v>
      </c>
      <c r="I53" s="8">
        <f>E36</f>
        <v>0</v>
      </c>
      <c r="J53" s="7" t="s">
        <v>37</v>
      </c>
    </row>
    <row r="54" spans="3:27" x14ac:dyDescent="0.45">
      <c r="C54" s="1" t="s">
        <v>36</v>
      </c>
      <c r="D54" s="12">
        <v>0.8</v>
      </c>
      <c r="H54" s="5" t="s">
        <v>35</v>
      </c>
      <c r="I54" s="8"/>
      <c r="J54" s="5" t="s">
        <v>34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3:27" x14ac:dyDescent="0.45">
      <c r="C55" s="1"/>
      <c r="D55" s="14"/>
      <c r="H55" s="10" t="s">
        <v>27</v>
      </c>
      <c r="I55" s="13">
        <f>D53</f>
        <v>0.08</v>
      </c>
      <c r="J55" s="10" t="s">
        <v>31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3:27" x14ac:dyDescent="0.45">
      <c r="C56" s="1" t="s">
        <v>33</v>
      </c>
      <c r="D56" s="12">
        <v>0.08</v>
      </c>
      <c r="H56" s="10" t="s">
        <v>32</v>
      </c>
      <c r="I56" s="13">
        <f>D54</f>
        <v>0.8</v>
      </c>
      <c r="J56" s="10" t="s">
        <v>31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3:27" x14ac:dyDescent="0.45">
      <c r="C57" s="1" t="s">
        <v>30</v>
      </c>
      <c r="D57" s="12">
        <v>1</v>
      </c>
      <c r="I57" s="1"/>
    </row>
    <row r="58" spans="3:27" x14ac:dyDescent="0.45">
      <c r="D58" s="1"/>
      <c r="I58" s="1"/>
    </row>
    <row r="59" spans="3:27" x14ac:dyDescent="0.45">
      <c r="D59" s="1"/>
      <c r="H59" s="7" t="s">
        <v>29</v>
      </c>
      <c r="I59" s="11">
        <f>E46</f>
        <v>0</v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3:27" x14ac:dyDescent="0.45">
      <c r="D60" s="1"/>
      <c r="H60" s="7" t="s">
        <v>28</v>
      </c>
      <c r="I60" s="11">
        <f>E43</f>
        <v>0</v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3:27" x14ac:dyDescent="0.45">
      <c r="D61" s="1"/>
      <c r="H61" s="10" t="s">
        <v>27</v>
      </c>
      <c r="I61" s="9">
        <f>D56</f>
        <v>0.08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3:27" x14ac:dyDescent="0.45">
      <c r="D62" s="1"/>
      <c r="H62" s="5" t="s">
        <v>26</v>
      </c>
      <c r="I62" s="8">
        <v>24</v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3:27" x14ac:dyDescent="0.45">
      <c r="D63" s="1"/>
      <c r="H63" s="10" t="s">
        <v>25</v>
      </c>
      <c r="I63" s="9">
        <f>D57</f>
        <v>1</v>
      </c>
      <c r="J63" s="5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3:27" x14ac:dyDescent="0.45">
      <c r="D64" s="1"/>
      <c r="H64" s="5" t="s">
        <v>24</v>
      </c>
      <c r="I64" s="8" t="e">
        <f>IF(INDEX(M64:AA64,$I$4)="",INDEX(M64:AA64,$I$6),INDEX(M64:AA64,$I$4))</f>
        <v>#REF!</v>
      </c>
      <c r="J64" s="5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4:27" x14ac:dyDescent="0.45">
      <c r="D65" s="1"/>
      <c r="H65" s="7"/>
      <c r="I65" s="6"/>
      <c r="J65" s="5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4:27" x14ac:dyDescent="0.45">
      <c r="D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4:27" x14ac:dyDescent="0.45">
      <c r="D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4:27" x14ac:dyDescent="0.45">
      <c r="D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4:27" x14ac:dyDescent="0.45">
      <c r="D69" s="1"/>
    </row>
    <row r="70" spans="4:27" x14ac:dyDescent="0.45">
      <c r="D70" s="1"/>
    </row>
    <row r="71" spans="4:27" x14ac:dyDescent="0.45">
      <c r="D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4:27" x14ac:dyDescent="0.45">
      <c r="D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4:27" x14ac:dyDescent="0.45">
      <c r="D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4:27" x14ac:dyDescent="0.45">
      <c r="D74" s="1"/>
      <c r="E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4:27" x14ac:dyDescent="0.45">
      <c r="G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4:27" x14ac:dyDescent="0.45">
      <c r="D76" s="1"/>
      <c r="E76" s="1"/>
    </row>
    <row r="77" spans="4:27" x14ac:dyDescent="0.45">
      <c r="D77" s="1"/>
    </row>
    <row r="78" spans="4:27" x14ac:dyDescent="0.45">
      <c r="D78" s="1"/>
    </row>
    <row r="79" spans="4:27" x14ac:dyDescent="0.45">
      <c r="D79" s="1"/>
    </row>
    <row r="80" spans="4:27" x14ac:dyDescent="0.45">
      <c r="D80" s="1"/>
    </row>
    <row r="81" spans="4:4" x14ac:dyDescent="0.45">
      <c r="D8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7646F-754B-4F9F-902A-D54E0694A5D6}">
  <dimension ref="A3:F30"/>
  <sheetViews>
    <sheetView tabSelected="1" workbookViewId="0">
      <selection activeCell="C33" sqref="C33"/>
    </sheetView>
  </sheetViews>
  <sheetFormatPr defaultRowHeight="14.25" x14ac:dyDescent="0.45"/>
  <cols>
    <col min="1" max="1" width="13.73046875" style="1" customWidth="1"/>
    <col min="2" max="2" width="9.73046875" style="1" customWidth="1"/>
    <col min="3" max="3" width="22.73046875" style="1" customWidth="1"/>
    <col min="4" max="4" width="17.73046875" style="1" customWidth="1"/>
    <col min="5" max="5" width="75.73046875" style="1" customWidth="1"/>
    <col min="6" max="21" width="9.73046875" style="1" customWidth="1"/>
    <col min="22" max="16384" width="9.06640625" style="1"/>
  </cols>
  <sheetData>
    <row r="3" spans="1:6" x14ac:dyDescent="0.45">
      <c r="F3" s="1" t="s">
        <v>172</v>
      </c>
    </row>
    <row r="4" spans="1:6" ht="17.25" x14ac:dyDescent="0.6">
      <c r="D4" s="18" t="s">
        <v>171</v>
      </c>
      <c r="E4" s="4" t="s">
        <v>58</v>
      </c>
      <c r="F4" s="23" t="e">
        <f ca="1">_xludf.SWITCH(SQRChartBindings!E4,"Year 1 / 2",0,"Year 2 / 3",12,"Year 3 / 4",24,"Year 4 / 5",36,0)</f>
        <v>#NAME?</v>
      </c>
    </row>
    <row r="6" spans="1:6" x14ac:dyDescent="0.45">
      <c r="A6" s="1" t="s">
        <v>170</v>
      </c>
      <c r="B6" s="1">
        <v>2</v>
      </c>
      <c r="C6" s="1" t="s">
        <v>169</v>
      </c>
      <c r="D6" s="1" t="s">
        <v>168</v>
      </c>
      <c r="E6" s="1" t="e">
        <f ca="1">OFFSET(SQRMonthly!D2,0,SQRChartBindings!F4,1,24)</f>
        <v>#NAME?</v>
      </c>
      <c r="F6" s="4" t="s">
        <v>143</v>
      </c>
    </row>
    <row r="7" spans="1:6" x14ac:dyDescent="0.45">
      <c r="A7" s="1" t="s">
        <v>164</v>
      </c>
      <c r="B7" s="1">
        <v>11</v>
      </c>
      <c r="D7" s="1" t="s">
        <v>167</v>
      </c>
      <c r="E7" s="1" t="e">
        <f ca="1">OFFSET('[2]Balance Sheet'!J11,0,SQRChartBindings!F4,1,24)</f>
        <v>#NAME?</v>
      </c>
      <c r="F7" s="4" t="s">
        <v>143</v>
      </c>
    </row>
    <row r="8" spans="1:6" x14ac:dyDescent="0.45">
      <c r="A8" s="1" t="s">
        <v>164</v>
      </c>
      <c r="B8" s="1">
        <v>17</v>
      </c>
      <c r="D8" s="1" t="s">
        <v>166</v>
      </c>
      <c r="E8" s="1" t="e">
        <f ca="1">OFFSET('[2]Balance Sheet'!J17,0,SQRChartBindings!F4,1,24)</f>
        <v>#NAME?</v>
      </c>
      <c r="F8" s="4" t="s">
        <v>143</v>
      </c>
    </row>
    <row r="9" spans="1:6" x14ac:dyDescent="0.45">
      <c r="A9" s="1" t="s">
        <v>164</v>
      </c>
      <c r="B9" s="1">
        <v>16</v>
      </c>
      <c r="D9" s="1" t="s">
        <v>165</v>
      </c>
      <c r="E9" s="1" t="e">
        <f ca="1">OFFSET('[1]Balance Sheet'!J16,0,SQRChartBindings!F4,1,24)</f>
        <v>#NAME?</v>
      </c>
      <c r="F9" s="4" t="s">
        <v>143</v>
      </c>
    </row>
    <row r="10" spans="1:6" x14ac:dyDescent="0.45">
      <c r="A10" s="1" t="s">
        <v>164</v>
      </c>
      <c r="B10" s="1">
        <v>18</v>
      </c>
      <c r="D10" s="1" t="s">
        <v>163</v>
      </c>
      <c r="E10" s="1" t="e">
        <f ca="1">OFFSET('[1]Balance Sheet'!J18,0,SQRChartBindings!F5,1,24)</f>
        <v>#VALUE!</v>
      </c>
    </row>
    <row r="12" spans="1:6" x14ac:dyDescent="0.45">
      <c r="A12" s="1" t="s">
        <v>151</v>
      </c>
      <c r="B12" s="1">
        <v>8</v>
      </c>
      <c r="D12" s="1" t="s">
        <v>162</v>
      </c>
      <c r="E12" s="1" t="e">
        <f ca="1">OFFSET('[1]Income Statement'!J8,0,SQRChartBindings!F4,1,24)</f>
        <v>#NAME?</v>
      </c>
      <c r="F12" s="4" t="s">
        <v>143</v>
      </c>
    </row>
    <row r="13" spans="1:6" x14ac:dyDescent="0.45">
      <c r="A13" s="1" t="s">
        <v>151</v>
      </c>
      <c r="B13" s="1">
        <v>11</v>
      </c>
      <c r="D13" s="1" t="s">
        <v>161</v>
      </c>
      <c r="E13" s="1" t="e">
        <f ca="1">OFFSET('[1]Income Statement'!J11,0,SQRChartBindings!F4,1,24)</f>
        <v>#NAME?</v>
      </c>
      <c r="F13" s="4" t="s">
        <v>143</v>
      </c>
    </row>
    <row r="14" spans="1:6" x14ac:dyDescent="0.45">
      <c r="A14" s="1" t="s">
        <v>151</v>
      </c>
      <c r="B14" s="1">
        <v>14</v>
      </c>
      <c r="D14" s="1" t="s">
        <v>160</v>
      </c>
      <c r="E14" s="1" t="e">
        <f ca="1">OFFSET('[1]Income Statement'!J14,0,SQRChartBindings!F4,1,24)</f>
        <v>#NAME?</v>
      </c>
      <c r="F14" s="4" t="s">
        <v>143</v>
      </c>
    </row>
    <row r="15" spans="1:6" x14ac:dyDescent="0.45">
      <c r="A15" s="1" t="s">
        <v>151</v>
      </c>
      <c r="B15" s="1">
        <v>19</v>
      </c>
      <c r="D15" s="1" t="s">
        <v>159</v>
      </c>
      <c r="E15" s="1" t="e">
        <f ca="1">OFFSET('[1]Income Statement'!J19,0,SQRChartBindings!F4,1,24)</f>
        <v>#NAME?</v>
      </c>
      <c r="F15" s="4" t="s">
        <v>143</v>
      </c>
    </row>
    <row r="16" spans="1:6" x14ac:dyDescent="0.45">
      <c r="A16" s="1" t="s">
        <v>151</v>
      </c>
      <c r="B16" s="1">
        <v>22</v>
      </c>
      <c r="D16" s="1" t="s">
        <v>158</v>
      </c>
      <c r="E16" s="1" t="e">
        <f ca="1">OFFSET('[1]Income Statement'!J22,0,SQRChartBindings!F5,1,24)</f>
        <v>#VALUE!</v>
      </c>
    </row>
    <row r="18" spans="1:6" x14ac:dyDescent="0.45">
      <c r="A18" s="1" t="s">
        <v>151</v>
      </c>
      <c r="B18" s="1">
        <v>9</v>
      </c>
      <c r="D18" s="1" t="s">
        <v>157</v>
      </c>
      <c r="E18" s="1" t="e">
        <f ca="1">OFFSET('[1]Income Statement'!J9,0,SQRChartBindings!F4,1,24)</f>
        <v>#NAME?</v>
      </c>
      <c r="F18" s="4" t="s">
        <v>143</v>
      </c>
    </row>
    <row r="19" spans="1:6" x14ac:dyDescent="0.45">
      <c r="A19" s="1" t="s">
        <v>151</v>
      </c>
      <c r="B19" s="1">
        <v>10</v>
      </c>
      <c r="D19" s="22" t="s">
        <v>156</v>
      </c>
      <c r="E19" s="1" t="e">
        <f ca="1">OFFSET('[1]Income Statement'!J10,0,SQRChartBindings!F4,1,24)</f>
        <v>#NAME?</v>
      </c>
      <c r="F19" s="4" t="s">
        <v>143</v>
      </c>
    </row>
    <row r="20" spans="1:6" x14ac:dyDescent="0.45">
      <c r="A20" s="1" t="s">
        <v>151</v>
      </c>
      <c r="B20" s="1">
        <v>13</v>
      </c>
      <c r="D20" s="22" t="s">
        <v>155</v>
      </c>
      <c r="E20" s="1" t="e">
        <f ca="1">OFFSET('[1]Income Statement'!J13,0,F4,1,24)</f>
        <v>#NAME?</v>
      </c>
      <c r="F20" s="4" t="s">
        <v>143</v>
      </c>
    </row>
    <row r="21" spans="1:6" x14ac:dyDescent="0.45">
      <c r="A21" s="1" t="s">
        <v>151</v>
      </c>
      <c r="B21" s="1">
        <v>16</v>
      </c>
      <c r="D21" s="21" t="s">
        <v>154</v>
      </c>
      <c r="E21" s="1" t="e">
        <f ca="1">OFFSET('[1]Income Statement'!J16,0,F4,1,24)</f>
        <v>#NAME?</v>
      </c>
      <c r="F21" s="4" t="s">
        <v>143</v>
      </c>
    </row>
    <row r="22" spans="1:6" x14ac:dyDescent="0.45">
      <c r="A22" s="1" t="s">
        <v>151</v>
      </c>
      <c r="B22" s="1">
        <v>17</v>
      </c>
      <c r="D22" s="1" t="s">
        <v>153</v>
      </c>
      <c r="E22" s="1" t="e">
        <f ca="1">OFFSET('[1]Income Statement'!J17,0,F4,1,24)</f>
        <v>#NAME?</v>
      </c>
      <c r="F22" s="4" t="s">
        <v>143</v>
      </c>
    </row>
    <row r="23" spans="1:6" x14ac:dyDescent="0.45">
      <c r="A23" s="1" t="s">
        <v>151</v>
      </c>
      <c r="B23" s="1">
        <v>18</v>
      </c>
      <c r="D23" s="1" t="s">
        <v>152</v>
      </c>
      <c r="E23" s="1" t="e">
        <f ca="1">OFFSET('[1]Income Statement'!J18,0,F4,1,24)</f>
        <v>#NAME?</v>
      </c>
    </row>
    <row r="24" spans="1:6" x14ac:dyDescent="0.45">
      <c r="A24" s="1" t="s">
        <v>151</v>
      </c>
      <c r="B24" s="1">
        <v>21</v>
      </c>
      <c r="D24" s="1" t="s">
        <v>150</v>
      </c>
      <c r="E24" s="1" t="e">
        <f ca="1">OFFSET('[1]Income Statement'!J21,0,SQRChartBindings!F4,1,24)</f>
        <v>#NAME?</v>
      </c>
    </row>
    <row r="26" spans="1:6" x14ac:dyDescent="0.45">
      <c r="A26" s="1" t="s">
        <v>145</v>
      </c>
      <c r="B26" s="1">
        <v>10</v>
      </c>
      <c r="D26" s="21" t="s">
        <v>149</v>
      </c>
      <c r="E26" s="1" t="e">
        <f ca="1">OFFSET('[1]Inventory Report'!J10,0,SQRChartBindings!F4,1,24)</f>
        <v>#NAME?</v>
      </c>
      <c r="F26" s="4" t="s">
        <v>143</v>
      </c>
    </row>
    <row r="27" spans="1:6" x14ac:dyDescent="0.45">
      <c r="A27" s="1" t="s">
        <v>145</v>
      </c>
      <c r="B27" s="1">
        <v>12</v>
      </c>
      <c r="D27" s="1" t="s">
        <v>148</v>
      </c>
      <c r="E27" s="1" t="e">
        <f ca="1">OFFSET('[1]Inventory Report'!J12,0,SQRChartBindings!F4,1,24)</f>
        <v>#NAME?</v>
      </c>
      <c r="F27" s="4" t="s">
        <v>143</v>
      </c>
    </row>
    <row r="28" spans="1:6" x14ac:dyDescent="0.45">
      <c r="A28" s="1" t="s">
        <v>145</v>
      </c>
      <c r="B28" s="1">
        <v>15</v>
      </c>
      <c r="D28" s="22" t="s">
        <v>147</v>
      </c>
      <c r="E28" s="1" t="e">
        <f ca="1">OFFSET('[1]Inventory Report'!J15,0,SQRChartBindings!F4,1,24)</f>
        <v>#NAME?</v>
      </c>
      <c r="F28" s="4" t="s">
        <v>143</v>
      </c>
    </row>
    <row r="29" spans="1:6" x14ac:dyDescent="0.45">
      <c r="A29" s="1" t="s">
        <v>145</v>
      </c>
      <c r="B29" s="1">
        <v>17</v>
      </c>
      <c r="D29" s="22" t="s">
        <v>146</v>
      </c>
      <c r="E29" s="1" t="e">
        <f ca="1">OFFSET('[1]Inventory Report'!J17,0,SQRChartBindings!F4,1,24)</f>
        <v>#NAME?</v>
      </c>
      <c r="F29" s="4" t="s">
        <v>143</v>
      </c>
    </row>
    <row r="30" spans="1:6" x14ac:dyDescent="0.45">
      <c r="A30" s="1" t="s">
        <v>145</v>
      </c>
      <c r="B30" s="1">
        <v>18</v>
      </c>
      <c r="D30" s="21" t="s">
        <v>144</v>
      </c>
      <c r="E30" s="1" t="e">
        <f ca="1">OFFSET('[1]Inventory Report'!J18,0,SQRChartBindings!F4,1,24)</f>
        <v>#NAME?</v>
      </c>
      <c r="F30" s="4" t="s">
        <v>143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074EE-C9B5-41EE-9E67-85451DEC3D12}">
  <dimension ref="A1:IR70"/>
  <sheetViews>
    <sheetView tabSelected="1" workbookViewId="0">
      <selection activeCell="C33" sqref="C33"/>
    </sheetView>
  </sheetViews>
  <sheetFormatPr defaultRowHeight="13.15" x14ac:dyDescent="0.4"/>
  <cols>
    <col min="1" max="1" width="3.73046875" style="24" customWidth="1"/>
    <col min="2" max="2" width="25.73046875" style="24" customWidth="1"/>
    <col min="3" max="3" width="3.73046875" style="24" customWidth="1"/>
    <col min="4" max="6" width="16.73046875" style="24" customWidth="1"/>
    <col min="7" max="7" width="17.73046875" style="24" customWidth="1"/>
    <col min="8" max="8" width="19.73046875" style="24" customWidth="1"/>
    <col min="9" max="16384" width="9.06640625" style="24"/>
  </cols>
  <sheetData>
    <row r="1" spans="1:252" ht="15" x14ac:dyDescent="0.55000000000000004">
      <c r="A1" s="1"/>
      <c r="B1" s="1"/>
      <c r="C1" s="1"/>
      <c r="D1" s="1"/>
      <c r="E1" s="1"/>
      <c r="F1" s="1"/>
      <c r="G1" s="1"/>
      <c r="H1" s="1"/>
      <c r="I1" s="1"/>
      <c r="J1" s="1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29"/>
      <c r="ER1" s="29"/>
      <c r="ES1" s="29"/>
      <c r="ET1" s="29"/>
      <c r="EU1" s="29"/>
      <c r="EV1" s="29"/>
      <c r="EW1" s="29"/>
      <c r="EX1" s="29"/>
      <c r="EY1" s="29"/>
      <c r="EZ1" s="29"/>
      <c r="FA1" s="29"/>
      <c r="FB1" s="29"/>
      <c r="FC1" s="29"/>
      <c r="FD1" s="29"/>
      <c r="FE1" s="29"/>
      <c r="FF1" s="29"/>
      <c r="FG1" s="29"/>
      <c r="FH1" s="29"/>
      <c r="FI1" s="29"/>
      <c r="FJ1" s="29"/>
      <c r="FK1" s="29"/>
      <c r="FL1" s="29"/>
      <c r="FM1" s="29"/>
      <c r="FN1" s="29"/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  <c r="GP1" s="29"/>
      <c r="GQ1" s="29"/>
      <c r="GR1" s="29"/>
      <c r="GS1" s="29"/>
      <c r="GT1" s="29"/>
      <c r="GU1" s="29"/>
      <c r="GV1" s="29"/>
      <c r="GW1" s="29"/>
      <c r="GX1" s="29"/>
      <c r="GY1" s="29"/>
      <c r="GZ1" s="29"/>
      <c r="HA1" s="29"/>
      <c r="HB1" s="29"/>
      <c r="HC1" s="29"/>
      <c r="HD1" s="29"/>
      <c r="HE1" s="29"/>
      <c r="HF1" s="29"/>
      <c r="HG1" s="29"/>
      <c r="HH1" s="29"/>
      <c r="HI1" s="29"/>
      <c r="HJ1" s="29"/>
      <c r="HK1" s="29"/>
      <c r="HL1" s="29"/>
      <c r="HM1" s="29"/>
      <c r="HN1" s="29"/>
      <c r="HO1" s="29"/>
      <c r="HP1" s="29"/>
      <c r="HQ1" s="29"/>
      <c r="HR1" s="29"/>
      <c r="HS1" s="29"/>
      <c r="HT1" s="29"/>
      <c r="HU1" s="29"/>
      <c r="HV1" s="29"/>
      <c r="HW1" s="29"/>
      <c r="HX1" s="29"/>
      <c r="HY1" s="29"/>
      <c r="HZ1" s="29"/>
      <c r="IA1" s="29"/>
      <c r="IB1" s="29"/>
      <c r="IC1" s="29"/>
      <c r="ID1" s="29"/>
      <c r="IE1" s="29"/>
      <c r="IF1" s="29"/>
      <c r="IG1" s="29"/>
      <c r="IH1" s="29"/>
      <c r="II1" s="29"/>
      <c r="IJ1" s="29"/>
      <c r="IK1" s="29"/>
      <c r="IL1" s="29"/>
      <c r="IM1" s="29"/>
      <c r="IN1" s="29"/>
      <c r="IO1" s="29"/>
      <c r="IP1" s="29"/>
      <c r="IQ1" s="29"/>
      <c r="IR1" s="29"/>
    </row>
    <row r="2" spans="1:252" ht="14.25" x14ac:dyDescent="0.45">
      <c r="A2" s="1"/>
      <c r="B2" s="35"/>
      <c r="C2" s="1"/>
      <c r="D2" s="33"/>
      <c r="E2" s="33"/>
      <c r="F2" s="33"/>
      <c r="G2" s="33"/>
      <c r="H2" s="33"/>
      <c r="I2" s="1"/>
    </row>
    <row r="3" spans="1:252" ht="15" x14ac:dyDescent="0.55000000000000004">
      <c r="A3" s="1"/>
      <c r="B3" s="1"/>
      <c r="C3" s="1"/>
      <c r="D3" s="32"/>
      <c r="E3" s="32"/>
      <c r="F3" s="32"/>
      <c r="G3" s="32"/>
      <c r="H3" s="32"/>
      <c r="I3" s="1"/>
      <c r="J3" s="1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  <c r="EP3" s="29"/>
      <c r="EQ3" s="29"/>
      <c r="ER3" s="29"/>
      <c r="ES3" s="29"/>
      <c r="ET3" s="29"/>
      <c r="EU3" s="29"/>
      <c r="EV3" s="29"/>
      <c r="EW3" s="29"/>
      <c r="EX3" s="29"/>
      <c r="EY3" s="29"/>
      <c r="EZ3" s="29"/>
      <c r="FA3" s="29"/>
      <c r="FB3" s="29"/>
      <c r="FC3" s="29"/>
      <c r="FD3" s="29"/>
      <c r="FE3" s="29"/>
      <c r="FF3" s="29"/>
      <c r="FG3" s="29"/>
      <c r="FH3" s="29"/>
      <c r="FI3" s="29"/>
      <c r="FJ3" s="29"/>
      <c r="FK3" s="29"/>
      <c r="FL3" s="29"/>
      <c r="FM3" s="29"/>
      <c r="FN3" s="29"/>
      <c r="FO3" s="29"/>
      <c r="FP3" s="29"/>
      <c r="FQ3" s="29"/>
      <c r="FR3" s="29"/>
      <c r="FS3" s="29"/>
      <c r="FT3" s="29"/>
      <c r="FU3" s="29"/>
      <c r="FV3" s="29"/>
      <c r="FW3" s="29"/>
      <c r="FX3" s="29"/>
      <c r="FY3" s="29"/>
      <c r="FZ3" s="29"/>
      <c r="GA3" s="29"/>
      <c r="GB3" s="29"/>
      <c r="GC3" s="29"/>
      <c r="GD3" s="29"/>
      <c r="GE3" s="29"/>
      <c r="GF3" s="29"/>
      <c r="GG3" s="29"/>
      <c r="GH3" s="29"/>
      <c r="GI3" s="29"/>
      <c r="GJ3" s="29"/>
      <c r="GK3" s="29"/>
      <c r="GL3" s="29"/>
      <c r="GM3" s="29"/>
      <c r="GN3" s="29"/>
      <c r="GO3" s="29"/>
      <c r="GP3" s="29"/>
      <c r="GQ3" s="29"/>
      <c r="GR3" s="29"/>
      <c r="GS3" s="29"/>
      <c r="GT3" s="29"/>
      <c r="GU3" s="29"/>
      <c r="GV3" s="29"/>
      <c r="GW3" s="29"/>
      <c r="GX3" s="29"/>
      <c r="GY3" s="29"/>
      <c r="GZ3" s="29"/>
      <c r="HA3" s="29"/>
      <c r="HB3" s="29"/>
      <c r="HC3" s="29"/>
      <c r="HD3" s="29"/>
      <c r="HE3" s="29"/>
      <c r="HF3" s="29"/>
      <c r="HG3" s="29"/>
      <c r="HH3" s="29"/>
      <c r="HI3" s="29"/>
      <c r="HJ3" s="29"/>
      <c r="HK3" s="29"/>
      <c r="HL3" s="29"/>
      <c r="HM3" s="29"/>
      <c r="HN3" s="29"/>
      <c r="HO3" s="29"/>
      <c r="HP3" s="29"/>
      <c r="HQ3" s="29"/>
      <c r="HR3" s="29"/>
      <c r="HS3" s="29"/>
      <c r="HT3" s="29"/>
      <c r="HU3" s="29"/>
      <c r="HV3" s="29"/>
      <c r="HW3" s="29"/>
      <c r="HX3" s="29"/>
      <c r="HY3" s="29"/>
      <c r="HZ3" s="29"/>
      <c r="IA3" s="29"/>
      <c r="IB3" s="29"/>
      <c r="IC3" s="29"/>
      <c r="ID3" s="29"/>
      <c r="IE3" s="29"/>
      <c r="IF3" s="29"/>
      <c r="IG3" s="29"/>
      <c r="IH3" s="29"/>
      <c r="II3" s="29"/>
      <c r="IJ3" s="29"/>
      <c r="IK3" s="29"/>
      <c r="IL3" s="29"/>
      <c r="IM3" s="29"/>
      <c r="IN3" s="29"/>
      <c r="IO3" s="29"/>
      <c r="IP3" s="29"/>
      <c r="IQ3" s="29"/>
      <c r="IR3" s="29"/>
    </row>
    <row r="4" spans="1:252" ht="15" x14ac:dyDescent="0.55000000000000004">
      <c r="A4" s="1"/>
      <c r="B4" s="36"/>
      <c r="C4" s="1"/>
      <c r="D4" s="25"/>
      <c r="E4" s="25"/>
      <c r="F4" s="25"/>
      <c r="G4" s="25"/>
      <c r="H4" s="25"/>
      <c r="I4" s="1"/>
      <c r="J4" s="1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  <c r="DE4" s="29"/>
      <c r="DF4" s="29"/>
      <c r="DG4" s="29"/>
      <c r="DH4" s="29"/>
      <c r="DI4" s="29"/>
      <c r="DJ4" s="29"/>
      <c r="DK4" s="29"/>
      <c r="DL4" s="29"/>
      <c r="DM4" s="29"/>
      <c r="DN4" s="29"/>
      <c r="DO4" s="29"/>
      <c r="DP4" s="29"/>
      <c r="DQ4" s="29"/>
      <c r="DR4" s="29"/>
      <c r="DS4" s="29"/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  <c r="EF4" s="29"/>
      <c r="EG4" s="29"/>
      <c r="EH4" s="29"/>
      <c r="EI4" s="29"/>
      <c r="EJ4" s="29"/>
      <c r="EK4" s="29"/>
      <c r="EL4" s="29"/>
      <c r="EM4" s="29"/>
      <c r="EN4" s="29"/>
      <c r="EO4" s="29"/>
      <c r="EP4" s="29"/>
      <c r="EQ4" s="29"/>
      <c r="ER4" s="29"/>
      <c r="ES4" s="29"/>
      <c r="ET4" s="29"/>
      <c r="EU4" s="29"/>
      <c r="EV4" s="29"/>
      <c r="EW4" s="29"/>
      <c r="EX4" s="29"/>
      <c r="EY4" s="29"/>
      <c r="EZ4" s="29"/>
      <c r="FA4" s="29"/>
      <c r="FB4" s="29"/>
      <c r="FC4" s="29"/>
      <c r="FD4" s="29"/>
      <c r="FE4" s="29"/>
      <c r="FF4" s="29"/>
      <c r="FG4" s="29"/>
      <c r="FH4" s="29"/>
      <c r="FI4" s="29"/>
      <c r="FJ4" s="29"/>
      <c r="FK4" s="29"/>
      <c r="FL4" s="29"/>
      <c r="FM4" s="29"/>
      <c r="FN4" s="29"/>
      <c r="FO4" s="29"/>
      <c r="FP4" s="29"/>
      <c r="FQ4" s="29"/>
      <c r="FR4" s="29"/>
      <c r="FS4" s="29"/>
      <c r="FT4" s="29"/>
      <c r="FU4" s="29"/>
      <c r="FV4" s="29"/>
      <c r="FW4" s="29"/>
      <c r="FX4" s="29"/>
      <c r="FY4" s="29"/>
      <c r="FZ4" s="29"/>
      <c r="GA4" s="29"/>
      <c r="GB4" s="29"/>
      <c r="GC4" s="29"/>
      <c r="GD4" s="29"/>
      <c r="GE4" s="29"/>
      <c r="GF4" s="29"/>
      <c r="GG4" s="29"/>
      <c r="GH4" s="29"/>
      <c r="GI4" s="29"/>
      <c r="GJ4" s="29"/>
      <c r="GK4" s="29"/>
      <c r="GL4" s="29"/>
      <c r="GM4" s="29"/>
      <c r="GN4" s="29"/>
      <c r="GO4" s="29"/>
      <c r="GP4" s="29"/>
      <c r="GQ4" s="29"/>
      <c r="GR4" s="29"/>
      <c r="GS4" s="29"/>
      <c r="GT4" s="29"/>
      <c r="GU4" s="29"/>
      <c r="GV4" s="29"/>
      <c r="GW4" s="29"/>
      <c r="GX4" s="29"/>
      <c r="GY4" s="29"/>
      <c r="GZ4" s="29"/>
      <c r="HA4" s="29"/>
      <c r="HB4" s="29"/>
      <c r="HC4" s="29"/>
      <c r="HD4" s="29"/>
      <c r="HE4" s="29"/>
      <c r="HF4" s="29"/>
      <c r="HG4" s="29"/>
      <c r="HH4" s="29"/>
      <c r="HI4" s="29"/>
      <c r="HJ4" s="29"/>
      <c r="HK4" s="29"/>
      <c r="HL4" s="29"/>
      <c r="HM4" s="29"/>
      <c r="HN4" s="29"/>
      <c r="HO4" s="29"/>
      <c r="HP4" s="29"/>
      <c r="HQ4" s="29"/>
      <c r="HR4" s="29"/>
      <c r="HS4" s="29"/>
      <c r="HT4" s="29"/>
      <c r="HU4" s="29"/>
      <c r="HV4" s="29"/>
      <c r="HW4" s="29"/>
      <c r="HX4" s="29"/>
      <c r="HY4" s="29"/>
      <c r="HZ4" s="29"/>
      <c r="IA4" s="29"/>
      <c r="IB4" s="29"/>
      <c r="IC4" s="29"/>
      <c r="ID4" s="29"/>
      <c r="IE4" s="29"/>
      <c r="IF4" s="29"/>
      <c r="IG4" s="29"/>
      <c r="IH4" s="29"/>
      <c r="II4" s="29"/>
      <c r="IJ4" s="29"/>
      <c r="IK4" s="29"/>
      <c r="IL4" s="29"/>
      <c r="IM4" s="29"/>
      <c r="IN4" s="29"/>
      <c r="IO4" s="29"/>
      <c r="IP4" s="29"/>
      <c r="IQ4" s="29"/>
      <c r="IR4" s="29"/>
    </row>
    <row r="5" spans="1:252" ht="15" x14ac:dyDescent="0.55000000000000004">
      <c r="A5" s="1"/>
      <c r="B5" s="36"/>
      <c r="C5" s="1"/>
      <c r="D5" s="25"/>
      <c r="E5" s="25"/>
      <c r="F5" s="25"/>
      <c r="G5" s="25"/>
      <c r="H5" s="25"/>
      <c r="I5" s="1"/>
      <c r="J5" s="1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29"/>
      <c r="DX5" s="2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29"/>
      <c r="ER5" s="2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29"/>
      <c r="FL5" s="2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29"/>
      <c r="GF5" s="2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29"/>
      <c r="GZ5" s="29"/>
      <c r="HA5" s="29"/>
      <c r="HB5" s="29"/>
      <c r="HC5" s="29"/>
      <c r="HD5" s="29"/>
      <c r="HE5" s="29"/>
      <c r="HF5" s="29"/>
      <c r="HG5" s="29"/>
      <c r="HH5" s="29"/>
      <c r="HI5" s="29"/>
      <c r="HJ5" s="29"/>
      <c r="HK5" s="29"/>
      <c r="HL5" s="29"/>
      <c r="HM5" s="29"/>
      <c r="HN5" s="29"/>
      <c r="HO5" s="29"/>
      <c r="HP5" s="29"/>
      <c r="HQ5" s="29"/>
      <c r="HR5" s="29"/>
      <c r="HS5" s="29"/>
      <c r="HT5" s="29"/>
      <c r="HU5" s="29"/>
      <c r="HV5" s="29"/>
      <c r="HW5" s="29"/>
      <c r="HX5" s="29"/>
      <c r="HY5" s="29"/>
      <c r="HZ5" s="29"/>
      <c r="IA5" s="29"/>
      <c r="IB5" s="29"/>
      <c r="IC5" s="29"/>
      <c r="ID5" s="29"/>
      <c r="IE5" s="29"/>
      <c r="IF5" s="29"/>
      <c r="IG5" s="29"/>
      <c r="IH5" s="29"/>
      <c r="II5" s="29"/>
      <c r="IJ5" s="29"/>
      <c r="IK5" s="29"/>
      <c r="IL5" s="29"/>
      <c r="IM5" s="29"/>
      <c r="IN5" s="29"/>
      <c r="IO5" s="29"/>
      <c r="IP5" s="29"/>
      <c r="IQ5" s="29"/>
      <c r="IR5" s="29"/>
    </row>
    <row r="6" spans="1:252" ht="15" x14ac:dyDescent="0.55000000000000004">
      <c r="A6" s="1"/>
      <c r="B6" s="36"/>
      <c r="C6" s="1"/>
      <c r="D6" s="25"/>
      <c r="E6" s="25"/>
      <c r="F6" s="25"/>
      <c r="G6" s="25"/>
      <c r="H6" s="25"/>
      <c r="I6" s="1"/>
      <c r="J6" s="1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29"/>
      <c r="FL6" s="2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29"/>
      <c r="GF6" s="2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  <c r="GZ6" s="29"/>
      <c r="HA6" s="29"/>
      <c r="HB6" s="29"/>
      <c r="HC6" s="29"/>
      <c r="HD6" s="29"/>
      <c r="HE6" s="29"/>
      <c r="HF6" s="29"/>
      <c r="HG6" s="29"/>
      <c r="HH6" s="29"/>
      <c r="HI6" s="29"/>
      <c r="HJ6" s="29"/>
      <c r="HK6" s="29"/>
      <c r="HL6" s="29"/>
      <c r="HM6" s="29"/>
      <c r="HN6" s="29"/>
      <c r="HO6" s="29"/>
      <c r="HP6" s="29"/>
      <c r="HQ6" s="29"/>
      <c r="HR6" s="29"/>
      <c r="HS6" s="29"/>
      <c r="HT6" s="29"/>
      <c r="HU6" s="29"/>
      <c r="HV6" s="29"/>
      <c r="HW6" s="29"/>
      <c r="HX6" s="29"/>
      <c r="HY6" s="29"/>
      <c r="HZ6" s="29"/>
      <c r="IA6" s="29"/>
      <c r="IB6" s="29"/>
      <c r="IC6" s="29"/>
      <c r="ID6" s="29"/>
      <c r="IE6" s="29"/>
      <c r="IF6" s="29"/>
      <c r="IG6" s="29"/>
      <c r="IH6" s="29"/>
      <c r="II6" s="29"/>
      <c r="IJ6" s="29"/>
      <c r="IK6" s="29"/>
      <c r="IL6" s="29"/>
      <c r="IM6" s="29"/>
      <c r="IN6" s="29"/>
      <c r="IO6" s="29"/>
      <c r="IP6" s="29"/>
      <c r="IQ6" s="29"/>
      <c r="IR6" s="29"/>
    </row>
    <row r="7" spans="1:252" s="30" customFormat="1" ht="14.25" x14ac:dyDescent="0.45">
      <c r="A7" s="24"/>
      <c r="B7" s="37"/>
      <c r="C7" s="27"/>
      <c r="D7" s="26"/>
      <c r="E7" s="26"/>
      <c r="F7" s="26"/>
      <c r="G7" s="26"/>
      <c r="H7" s="26"/>
      <c r="I7" s="24"/>
      <c r="J7" s="24"/>
      <c r="K7" s="24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</row>
    <row r="8" spans="1:252" ht="15" x14ac:dyDescent="0.55000000000000004">
      <c r="A8" s="1"/>
      <c r="B8" s="36"/>
      <c r="C8" s="1"/>
      <c r="D8" s="25"/>
      <c r="E8" s="25"/>
      <c r="F8" s="25"/>
      <c r="G8" s="25"/>
      <c r="H8" s="25"/>
      <c r="I8" s="1"/>
      <c r="J8" s="1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29"/>
      <c r="ER8" s="2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29"/>
      <c r="FL8" s="2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29"/>
      <c r="GF8" s="2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  <c r="GZ8" s="29"/>
      <c r="HA8" s="29"/>
      <c r="HB8" s="29"/>
      <c r="HC8" s="29"/>
      <c r="HD8" s="29"/>
      <c r="HE8" s="29"/>
      <c r="HF8" s="29"/>
      <c r="HG8" s="29"/>
      <c r="HH8" s="29"/>
      <c r="HI8" s="29"/>
      <c r="HJ8" s="29"/>
      <c r="HK8" s="29"/>
      <c r="HL8" s="29"/>
      <c r="HM8" s="29"/>
      <c r="HN8" s="29"/>
      <c r="HO8" s="29"/>
      <c r="HP8" s="29"/>
      <c r="HQ8" s="29"/>
      <c r="HR8" s="29"/>
      <c r="HS8" s="29"/>
      <c r="HT8" s="29"/>
      <c r="HU8" s="29"/>
      <c r="HV8" s="29"/>
      <c r="HW8" s="29"/>
      <c r="HX8" s="29"/>
      <c r="HY8" s="29"/>
      <c r="HZ8" s="29"/>
      <c r="IA8" s="29"/>
      <c r="IB8" s="29"/>
      <c r="IC8" s="29"/>
      <c r="ID8" s="29"/>
      <c r="IE8" s="29"/>
      <c r="IF8" s="29"/>
      <c r="IG8" s="29"/>
      <c r="IH8" s="29"/>
      <c r="II8" s="29"/>
      <c r="IJ8" s="29"/>
      <c r="IK8" s="29"/>
      <c r="IL8" s="29"/>
      <c r="IM8" s="29"/>
      <c r="IN8" s="29"/>
      <c r="IO8" s="29"/>
      <c r="IP8" s="29"/>
      <c r="IQ8" s="29"/>
      <c r="IR8" s="29"/>
    </row>
    <row r="9" spans="1:252" ht="15" x14ac:dyDescent="0.55000000000000004">
      <c r="A9" s="1"/>
      <c r="B9" s="36"/>
      <c r="C9" s="1"/>
      <c r="D9" s="25"/>
      <c r="E9" s="25"/>
      <c r="F9" s="25"/>
      <c r="G9" s="25"/>
      <c r="H9" s="25"/>
      <c r="I9" s="1"/>
      <c r="J9" s="1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29"/>
      <c r="FL9" s="2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29"/>
      <c r="GF9" s="2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29"/>
      <c r="GZ9" s="29"/>
      <c r="HA9" s="29"/>
      <c r="HB9" s="29"/>
      <c r="HC9" s="29"/>
      <c r="HD9" s="29"/>
      <c r="HE9" s="29"/>
      <c r="HF9" s="29"/>
      <c r="HG9" s="29"/>
      <c r="HH9" s="29"/>
      <c r="HI9" s="29"/>
      <c r="HJ9" s="29"/>
      <c r="HK9" s="29"/>
      <c r="HL9" s="29"/>
      <c r="HM9" s="29"/>
      <c r="HN9" s="29"/>
      <c r="HO9" s="29"/>
      <c r="HP9" s="29"/>
      <c r="HQ9" s="29"/>
      <c r="HR9" s="29"/>
      <c r="HS9" s="29"/>
      <c r="HT9" s="29"/>
      <c r="HU9" s="29"/>
      <c r="HV9" s="29"/>
      <c r="HW9" s="29"/>
      <c r="HX9" s="29"/>
      <c r="HY9" s="29"/>
      <c r="HZ9" s="29"/>
      <c r="IA9" s="29"/>
      <c r="IB9" s="29"/>
      <c r="IC9" s="29"/>
      <c r="ID9" s="29"/>
      <c r="IE9" s="29"/>
      <c r="IF9" s="29"/>
      <c r="IG9" s="29"/>
      <c r="IH9" s="29"/>
      <c r="II9" s="29"/>
      <c r="IJ9" s="29"/>
      <c r="IK9" s="29"/>
      <c r="IL9" s="29"/>
      <c r="IM9" s="29"/>
      <c r="IN9" s="29"/>
      <c r="IO9" s="29"/>
      <c r="IP9" s="29"/>
      <c r="IQ9" s="29"/>
      <c r="IR9" s="29"/>
    </row>
    <row r="10" spans="1:252" s="30" customFormat="1" ht="14.25" x14ac:dyDescent="0.45">
      <c r="A10" s="24"/>
      <c r="B10" s="37"/>
      <c r="C10" s="27"/>
      <c r="D10" s="26"/>
      <c r="E10" s="26"/>
      <c r="F10" s="26"/>
      <c r="G10" s="26"/>
      <c r="H10" s="26"/>
      <c r="I10" s="24"/>
      <c r="J10" s="24"/>
      <c r="K10" s="24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</row>
    <row r="11" spans="1:252" ht="15" x14ac:dyDescent="0.55000000000000004">
      <c r="A11" s="1"/>
      <c r="B11" s="36"/>
      <c r="C11" s="1"/>
      <c r="D11" s="25"/>
      <c r="E11" s="25"/>
      <c r="F11" s="25"/>
      <c r="G11" s="25"/>
      <c r="H11" s="25"/>
      <c r="I11" s="1"/>
      <c r="J11" s="1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</row>
    <row r="12" spans="1:252" ht="15" x14ac:dyDescent="0.55000000000000004">
      <c r="A12" s="1"/>
      <c r="B12" s="36"/>
      <c r="C12" s="1"/>
      <c r="D12" s="25"/>
      <c r="E12" s="25"/>
      <c r="F12" s="25"/>
      <c r="G12" s="25"/>
      <c r="H12" s="25"/>
      <c r="I12" s="1"/>
      <c r="J12" s="1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</row>
    <row r="13" spans="1:252" ht="15" x14ac:dyDescent="0.55000000000000004">
      <c r="A13" s="1"/>
      <c r="B13" s="36"/>
      <c r="C13" s="1"/>
      <c r="D13" s="25"/>
      <c r="E13" s="25"/>
      <c r="F13" s="25"/>
      <c r="G13" s="25"/>
      <c r="H13" s="25"/>
      <c r="I13" s="1"/>
      <c r="J13" s="1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</row>
    <row r="14" spans="1:252" s="30" customFormat="1" ht="14.25" x14ac:dyDescent="0.45">
      <c r="A14" s="24"/>
      <c r="B14" s="36"/>
      <c r="C14" s="1"/>
      <c r="D14" s="25"/>
      <c r="E14" s="25"/>
      <c r="F14" s="25"/>
      <c r="G14" s="25"/>
      <c r="H14" s="25"/>
      <c r="I14" s="24"/>
      <c r="J14" s="24"/>
      <c r="K14" s="24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</row>
    <row r="15" spans="1:252" ht="15" x14ac:dyDescent="0.55000000000000004">
      <c r="A15" s="1"/>
      <c r="B15" s="37"/>
      <c r="C15" s="27"/>
      <c r="D15" s="26"/>
      <c r="E15" s="26"/>
      <c r="F15" s="26"/>
      <c r="G15" s="26"/>
      <c r="H15" s="26"/>
      <c r="I15" s="1"/>
      <c r="J15" s="1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</row>
    <row r="16" spans="1:252" ht="15" x14ac:dyDescent="0.55000000000000004">
      <c r="A16" s="1"/>
      <c r="B16" s="36"/>
      <c r="C16" s="1"/>
      <c r="D16" s="25"/>
      <c r="E16" s="25"/>
      <c r="F16" s="25"/>
      <c r="G16" s="25"/>
      <c r="H16" s="25"/>
      <c r="I16" s="1"/>
      <c r="J16" s="1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</row>
    <row r="17" spans="1:252" ht="15" x14ac:dyDescent="0.55000000000000004">
      <c r="A17" s="1"/>
      <c r="B17" s="36"/>
      <c r="C17" s="1"/>
      <c r="D17" s="25"/>
      <c r="E17" s="25"/>
      <c r="F17" s="25"/>
      <c r="G17" s="25"/>
      <c r="H17" s="25"/>
      <c r="I17" s="1"/>
      <c r="J17" s="1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</row>
    <row r="18" spans="1:252" ht="15" x14ac:dyDescent="0.55000000000000004">
      <c r="A18" s="1"/>
      <c r="B18" s="37"/>
      <c r="C18" s="27"/>
      <c r="D18" s="26"/>
      <c r="E18" s="26"/>
      <c r="F18" s="26"/>
      <c r="G18" s="26"/>
      <c r="H18" s="26"/>
      <c r="I18" s="1"/>
      <c r="J18" s="1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</row>
    <row r="19" spans="1:252" ht="15" x14ac:dyDescent="0.55000000000000004">
      <c r="A19" s="1"/>
      <c r="B19" s="36"/>
      <c r="C19" s="1"/>
      <c r="D19" s="25"/>
      <c r="E19" s="25"/>
      <c r="F19" s="25"/>
      <c r="G19" s="25"/>
      <c r="H19" s="25"/>
      <c r="I19" s="1"/>
      <c r="J19" s="1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</row>
    <row r="20" spans="1:252" ht="15" x14ac:dyDescent="0.55000000000000004">
      <c r="A20" s="1"/>
      <c r="B20" s="1"/>
      <c r="C20" s="1"/>
      <c r="D20" s="32"/>
      <c r="E20" s="32"/>
      <c r="F20" s="32"/>
      <c r="G20" s="32"/>
      <c r="H20" s="32"/>
      <c r="I20" s="1"/>
      <c r="J20" s="1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</row>
    <row r="21" spans="1:252" s="30" customFormat="1" ht="14.25" x14ac:dyDescent="0.45">
      <c r="A21" s="31"/>
      <c r="B21" s="35"/>
      <c r="C21" s="1"/>
      <c r="D21" s="33"/>
      <c r="E21" s="33"/>
      <c r="F21" s="33"/>
      <c r="G21" s="33"/>
      <c r="H21" s="33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</row>
    <row r="22" spans="1:252" ht="15" x14ac:dyDescent="0.55000000000000004">
      <c r="A22" s="1"/>
      <c r="B22" s="1"/>
      <c r="C22" s="1"/>
      <c r="D22" s="32"/>
      <c r="E22" s="32"/>
      <c r="F22" s="32"/>
      <c r="G22" s="32"/>
      <c r="H22" s="32"/>
      <c r="I22" s="1"/>
      <c r="J22" s="1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</row>
    <row r="23" spans="1:252" ht="15" x14ac:dyDescent="0.55000000000000004">
      <c r="A23" s="1"/>
      <c r="C23" s="1"/>
      <c r="D23" s="25"/>
      <c r="E23" s="25"/>
      <c r="F23" s="25"/>
      <c r="G23" s="25"/>
      <c r="H23" s="25"/>
      <c r="I23" s="1"/>
      <c r="J23" s="1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</row>
    <row r="24" spans="1:252" ht="15" x14ac:dyDescent="0.55000000000000004">
      <c r="A24" s="1"/>
      <c r="C24" s="1"/>
      <c r="D24" s="25"/>
      <c r="E24" s="25"/>
      <c r="F24" s="25"/>
      <c r="G24" s="25"/>
      <c r="H24" s="25"/>
      <c r="I24" s="1"/>
      <c r="J24" s="1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</row>
    <row r="25" spans="1:252" ht="15" x14ac:dyDescent="0.55000000000000004">
      <c r="A25" s="1"/>
      <c r="C25" s="1"/>
      <c r="D25" s="25"/>
      <c r="E25" s="25"/>
      <c r="F25" s="25"/>
      <c r="G25" s="25"/>
      <c r="H25" s="25"/>
      <c r="I25" s="1"/>
      <c r="J25" s="1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29"/>
      <c r="FJ25" s="29"/>
      <c r="FK25" s="29"/>
      <c r="FL25" s="29"/>
      <c r="FM25" s="29"/>
      <c r="FN25" s="29"/>
      <c r="FO25" s="29"/>
      <c r="FP25" s="29"/>
      <c r="FQ25" s="29"/>
      <c r="FR25" s="29"/>
      <c r="FS25" s="29"/>
      <c r="FT25" s="29"/>
      <c r="FU25" s="29"/>
      <c r="FV25" s="29"/>
      <c r="FW25" s="29"/>
      <c r="FX25" s="29"/>
      <c r="FY25" s="29"/>
      <c r="FZ25" s="29"/>
      <c r="GA25" s="29"/>
      <c r="GB25" s="29"/>
      <c r="GC25" s="29"/>
      <c r="GD25" s="29"/>
      <c r="GE25" s="29"/>
      <c r="GF25" s="29"/>
      <c r="GG25" s="29"/>
      <c r="GH25" s="29"/>
      <c r="GI25" s="29"/>
      <c r="GJ25" s="29"/>
      <c r="GK25" s="29"/>
      <c r="GL25" s="29"/>
      <c r="GM25" s="29"/>
      <c r="GN25" s="29"/>
      <c r="GO25" s="29"/>
      <c r="GP25" s="29"/>
      <c r="GQ25" s="29"/>
      <c r="GR25" s="29"/>
      <c r="GS25" s="29"/>
      <c r="GT25" s="29"/>
      <c r="GU25" s="29"/>
      <c r="GV25" s="29"/>
      <c r="GW25" s="29"/>
      <c r="GX25" s="29"/>
      <c r="GY25" s="29"/>
      <c r="GZ25" s="29"/>
      <c r="HA25" s="29"/>
      <c r="HB25" s="29"/>
      <c r="HC25" s="29"/>
      <c r="HD25" s="29"/>
      <c r="HE25" s="29"/>
      <c r="HF25" s="29"/>
      <c r="HG25" s="29"/>
      <c r="HH25" s="29"/>
      <c r="HI25" s="29"/>
      <c r="HJ25" s="29"/>
      <c r="HK25" s="29"/>
      <c r="HL25" s="29"/>
      <c r="HM25" s="29"/>
      <c r="HN25" s="29"/>
      <c r="HO25" s="29"/>
      <c r="HP25" s="29"/>
      <c r="HQ25" s="29"/>
      <c r="HR25" s="29"/>
      <c r="HS25" s="29"/>
      <c r="HT25" s="29"/>
      <c r="HU25" s="29"/>
      <c r="HV25" s="29"/>
      <c r="HW25" s="29"/>
      <c r="HX25" s="29"/>
      <c r="HY25" s="29"/>
      <c r="HZ25" s="29"/>
      <c r="IA25" s="29"/>
      <c r="IB25" s="29"/>
      <c r="IC25" s="29"/>
      <c r="ID25" s="29"/>
      <c r="IE25" s="29"/>
      <c r="IF25" s="29"/>
      <c r="IG25" s="29"/>
      <c r="IH25" s="29"/>
      <c r="II25" s="29"/>
      <c r="IJ25" s="29"/>
      <c r="IK25" s="29"/>
      <c r="IL25" s="29"/>
      <c r="IM25" s="29"/>
      <c r="IN25" s="29"/>
      <c r="IO25" s="29"/>
      <c r="IP25" s="29"/>
      <c r="IQ25" s="29"/>
      <c r="IR25" s="29"/>
    </row>
    <row r="26" spans="1:252" s="30" customFormat="1" ht="14.25" x14ac:dyDescent="0.45">
      <c r="A26" s="24"/>
      <c r="B26" s="24"/>
      <c r="C26" s="1"/>
      <c r="D26" s="25"/>
      <c r="E26" s="25"/>
      <c r="F26" s="25"/>
      <c r="G26" s="25"/>
      <c r="H26" s="25"/>
      <c r="I26" s="24"/>
      <c r="J26" s="24"/>
      <c r="K26" s="24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</row>
    <row r="27" spans="1:252" ht="15" x14ac:dyDescent="0.55000000000000004">
      <c r="A27" s="1"/>
      <c r="B27" s="28"/>
      <c r="C27" s="27"/>
      <c r="D27" s="26"/>
      <c r="E27" s="26"/>
      <c r="F27" s="26"/>
      <c r="G27" s="26"/>
      <c r="H27" s="26"/>
      <c r="I27" s="1"/>
      <c r="J27" s="1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29"/>
      <c r="FL27" s="2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29"/>
      <c r="GF27" s="2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  <c r="GZ27" s="29"/>
      <c r="HA27" s="29"/>
      <c r="HB27" s="29"/>
      <c r="HC27" s="29"/>
      <c r="HD27" s="29"/>
      <c r="HE27" s="29"/>
      <c r="HF27" s="29"/>
      <c r="HG27" s="29"/>
      <c r="HH27" s="29"/>
      <c r="HI27" s="29"/>
      <c r="HJ27" s="29"/>
      <c r="HK27" s="29"/>
      <c r="HL27" s="29"/>
      <c r="HM27" s="29"/>
      <c r="HN27" s="29"/>
      <c r="HO27" s="29"/>
      <c r="HP27" s="29"/>
      <c r="HQ27" s="29"/>
      <c r="HR27" s="29"/>
      <c r="HS27" s="29"/>
      <c r="HT27" s="29"/>
      <c r="HU27" s="29"/>
      <c r="HV27" s="29"/>
      <c r="HW27" s="29"/>
      <c r="HX27" s="29"/>
      <c r="HY27" s="29"/>
      <c r="HZ27" s="29"/>
      <c r="IA27" s="29"/>
      <c r="IB27" s="29"/>
      <c r="IC27" s="29"/>
      <c r="ID27" s="29"/>
      <c r="IE27" s="29"/>
      <c r="IF27" s="29"/>
      <c r="IG27" s="29"/>
      <c r="IH27" s="29"/>
      <c r="II27" s="29"/>
      <c r="IJ27" s="29"/>
      <c r="IK27" s="29"/>
      <c r="IL27" s="29"/>
      <c r="IM27" s="29"/>
      <c r="IN27" s="29"/>
      <c r="IO27" s="29"/>
      <c r="IP27" s="29"/>
      <c r="IQ27" s="29"/>
      <c r="IR27" s="29"/>
    </row>
    <row r="28" spans="1:252" ht="15" x14ac:dyDescent="0.55000000000000004">
      <c r="A28" s="1"/>
      <c r="B28" s="1"/>
      <c r="C28" s="1"/>
      <c r="D28" s="25"/>
      <c r="E28" s="25"/>
      <c r="F28" s="25"/>
      <c r="G28" s="25"/>
      <c r="H28" s="25"/>
      <c r="I28" s="1"/>
      <c r="J28" s="1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29"/>
      <c r="EP28" s="29"/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29"/>
      <c r="FJ28" s="29"/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29"/>
      <c r="GD28" s="29"/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29"/>
      <c r="GX28" s="29"/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29"/>
      <c r="HR28" s="29"/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29"/>
      <c r="IL28" s="29"/>
      <c r="IM28" s="29"/>
      <c r="IN28" s="29"/>
      <c r="IO28" s="29"/>
      <c r="IP28" s="29"/>
      <c r="IQ28" s="29"/>
      <c r="IR28" s="29"/>
    </row>
    <row r="29" spans="1:252" ht="15" x14ac:dyDescent="0.55000000000000004">
      <c r="A29" s="1"/>
      <c r="C29" s="1"/>
      <c r="D29" s="25"/>
      <c r="E29" s="25"/>
      <c r="F29" s="25"/>
      <c r="G29" s="25"/>
      <c r="H29" s="25"/>
      <c r="I29" s="1"/>
      <c r="J29" s="1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29"/>
      <c r="HR29" s="29"/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29"/>
      <c r="IL29" s="29"/>
      <c r="IM29" s="29"/>
      <c r="IN29" s="29"/>
      <c r="IO29" s="29"/>
      <c r="IP29" s="29"/>
      <c r="IQ29" s="29"/>
      <c r="IR29" s="29"/>
    </row>
    <row r="30" spans="1:252" ht="15" x14ac:dyDescent="0.55000000000000004">
      <c r="A30" s="1"/>
      <c r="C30" s="1"/>
      <c r="D30" s="25"/>
      <c r="E30" s="25"/>
      <c r="F30" s="25"/>
      <c r="G30" s="25"/>
      <c r="H30" s="25"/>
      <c r="I30" s="1"/>
      <c r="J30" s="1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2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29"/>
      <c r="ER30" s="2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29"/>
      <c r="FL30" s="2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29"/>
      <c r="GF30" s="2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  <c r="GZ30" s="29"/>
      <c r="HA30" s="29"/>
      <c r="HB30" s="29"/>
      <c r="HC30" s="29"/>
      <c r="HD30" s="29"/>
      <c r="HE30" s="29"/>
      <c r="HF30" s="29"/>
      <c r="HG30" s="29"/>
      <c r="HH30" s="29"/>
      <c r="HI30" s="29"/>
      <c r="HJ30" s="29"/>
      <c r="HK30" s="29"/>
      <c r="HL30" s="29"/>
      <c r="HM30" s="29"/>
      <c r="HN30" s="29"/>
      <c r="HO30" s="29"/>
      <c r="HP30" s="29"/>
      <c r="HQ30" s="29"/>
      <c r="HR30" s="29"/>
      <c r="HS30" s="29"/>
      <c r="HT30" s="29"/>
      <c r="HU30" s="29"/>
      <c r="HV30" s="29"/>
      <c r="HW30" s="29"/>
      <c r="HX30" s="29"/>
      <c r="HY30" s="29"/>
      <c r="HZ30" s="29"/>
      <c r="IA30" s="29"/>
      <c r="IB30" s="29"/>
      <c r="IC30" s="29"/>
      <c r="ID30" s="29"/>
      <c r="IE30" s="29"/>
      <c r="IF30" s="29"/>
      <c r="IG30" s="29"/>
      <c r="IH30" s="29"/>
      <c r="II30" s="29"/>
      <c r="IJ30" s="29"/>
      <c r="IK30" s="29"/>
      <c r="IL30" s="29"/>
      <c r="IM30" s="29"/>
      <c r="IN30" s="29"/>
      <c r="IO30" s="29"/>
      <c r="IP30" s="29"/>
      <c r="IQ30" s="29"/>
      <c r="IR30" s="29"/>
    </row>
    <row r="31" spans="1:252" ht="15" x14ac:dyDescent="0.55000000000000004">
      <c r="A31" s="1"/>
      <c r="C31" s="1"/>
      <c r="D31" s="25"/>
      <c r="E31" s="25"/>
      <c r="F31" s="25"/>
      <c r="G31" s="25"/>
      <c r="H31" s="25"/>
      <c r="I31" s="1"/>
      <c r="J31" s="1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  <c r="EF31" s="29"/>
      <c r="EG31" s="29"/>
      <c r="EH31" s="29"/>
      <c r="EI31" s="29"/>
      <c r="EJ31" s="29"/>
      <c r="EK31" s="29"/>
      <c r="EL31" s="29"/>
      <c r="EM31" s="29"/>
      <c r="EN31" s="29"/>
      <c r="EO31" s="29"/>
      <c r="EP31" s="29"/>
      <c r="EQ31" s="29"/>
      <c r="ER31" s="29"/>
      <c r="ES31" s="29"/>
      <c r="ET31" s="29"/>
      <c r="EU31" s="29"/>
      <c r="EV31" s="29"/>
      <c r="EW31" s="29"/>
      <c r="EX31" s="29"/>
      <c r="EY31" s="29"/>
      <c r="EZ31" s="29"/>
      <c r="FA31" s="29"/>
      <c r="FB31" s="29"/>
      <c r="FC31" s="29"/>
      <c r="FD31" s="29"/>
      <c r="FE31" s="29"/>
      <c r="FF31" s="29"/>
      <c r="FG31" s="29"/>
      <c r="FH31" s="29"/>
      <c r="FI31" s="29"/>
      <c r="FJ31" s="29"/>
      <c r="FK31" s="29"/>
      <c r="FL31" s="29"/>
      <c r="FM31" s="29"/>
      <c r="FN31" s="29"/>
      <c r="FO31" s="29"/>
      <c r="FP31" s="29"/>
      <c r="FQ31" s="29"/>
      <c r="FR31" s="29"/>
      <c r="FS31" s="29"/>
      <c r="FT31" s="29"/>
      <c r="FU31" s="29"/>
      <c r="FV31" s="29"/>
      <c r="FW31" s="29"/>
      <c r="FX31" s="29"/>
      <c r="FY31" s="29"/>
      <c r="FZ31" s="29"/>
      <c r="GA31" s="29"/>
      <c r="GB31" s="29"/>
      <c r="GC31" s="29"/>
      <c r="GD31" s="29"/>
      <c r="GE31" s="29"/>
      <c r="GF31" s="29"/>
      <c r="GG31" s="29"/>
      <c r="GH31" s="29"/>
      <c r="GI31" s="29"/>
      <c r="GJ31" s="29"/>
      <c r="GK31" s="29"/>
      <c r="GL31" s="29"/>
      <c r="GM31" s="29"/>
      <c r="GN31" s="29"/>
      <c r="GO31" s="29"/>
      <c r="GP31" s="29"/>
      <c r="GQ31" s="29"/>
      <c r="GR31" s="29"/>
      <c r="GS31" s="29"/>
      <c r="GT31" s="29"/>
      <c r="GU31" s="29"/>
      <c r="GV31" s="29"/>
      <c r="GW31" s="29"/>
      <c r="GX31" s="29"/>
      <c r="GY31" s="29"/>
      <c r="GZ31" s="29"/>
      <c r="HA31" s="29"/>
      <c r="HB31" s="29"/>
      <c r="HC31" s="29"/>
      <c r="HD31" s="29"/>
      <c r="HE31" s="29"/>
      <c r="HF31" s="29"/>
      <c r="HG31" s="29"/>
      <c r="HH31" s="29"/>
      <c r="HI31" s="29"/>
      <c r="HJ31" s="29"/>
      <c r="HK31" s="29"/>
      <c r="HL31" s="29"/>
      <c r="HM31" s="29"/>
      <c r="HN31" s="29"/>
      <c r="HO31" s="29"/>
      <c r="HP31" s="29"/>
      <c r="HQ31" s="29"/>
      <c r="HR31" s="29"/>
      <c r="HS31" s="29"/>
      <c r="HT31" s="29"/>
      <c r="HU31" s="29"/>
      <c r="HV31" s="29"/>
      <c r="HW31" s="29"/>
      <c r="HX31" s="29"/>
      <c r="HY31" s="29"/>
      <c r="HZ31" s="29"/>
      <c r="IA31" s="29"/>
      <c r="IB31" s="29"/>
      <c r="IC31" s="29"/>
      <c r="ID31" s="29"/>
      <c r="IE31" s="29"/>
      <c r="IF31" s="29"/>
      <c r="IG31" s="29"/>
      <c r="IH31" s="29"/>
      <c r="II31" s="29"/>
      <c r="IJ31" s="29"/>
      <c r="IK31" s="29"/>
      <c r="IL31" s="29"/>
      <c r="IM31" s="29"/>
      <c r="IN31" s="29"/>
      <c r="IO31" s="29"/>
      <c r="IP31" s="29"/>
      <c r="IQ31" s="29"/>
      <c r="IR31" s="29"/>
    </row>
    <row r="32" spans="1:252" s="30" customFormat="1" ht="14.25" x14ac:dyDescent="0.45">
      <c r="A32" s="24"/>
      <c r="B32" s="24"/>
      <c r="C32" s="1"/>
      <c r="D32" s="25"/>
      <c r="E32" s="25"/>
      <c r="F32" s="25"/>
      <c r="G32" s="25"/>
      <c r="H32" s="25"/>
      <c r="I32" s="24"/>
      <c r="J32" s="24"/>
      <c r="K32" s="24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</row>
    <row r="33" spans="1:252" ht="15" x14ac:dyDescent="0.55000000000000004">
      <c r="A33" s="1"/>
      <c r="C33" s="1"/>
      <c r="D33" s="25"/>
      <c r="E33" s="25"/>
      <c r="F33" s="25"/>
      <c r="G33" s="25"/>
      <c r="H33" s="25"/>
      <c r="I33" s="1"/>
      <c r="J33" s="1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29"/>
      <c r="DX33" s="2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29"/>
      <c r="ER33" s="2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29"/>
      <c r="FL33" s="2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29"/>
      <c r="GF33" s="2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29"/>
      <c r="GZ33" s="29"/>
      <c r="HA33" s="29"/>
      <c r="HB33" s="29"/>
      <c r="HC33" s="29"/>
      <c r="HD33" s="29"/>
      <c r="HE33" s="29"/>
      <c r="HF33" s="29"/>
      <c r="HG33" s="29"/>
      <c r="HH33" s="29"/>
      <c r="HI33" s="29"/>
      <c r="HJ33" s="29"/>
      <c r="HK33" s="29"/>
      <c r="HL33" s="29"/>
      <c r="HM33" s="29"/>
      <c r="HN33" s="29"/>
      <c r="HO33" s="29"/>
      <c r="HP33" s="29"/>
      <c r="HQ33" s="29"/>
      <c r="HR33" s="29"/>
      <c r="HS33" s="29"/>
      <c r="HT33" s="29"/>
      <c r="HU33" s="29"/>
      <c r="HV33" s="29"/>
      <c r="HW33" s="29"/>
      <c r="HX33" s="29"/>
      <c r="HY33" s="29"/>
      <c r="HZ33" s="29"/>
      <c r="IA33" s="29"/>
      <c r="IB33" s="29"/>
      <c r="IC33" s="29"/>
      <c r="ID33" s="29"/>
      <c r="IE33" s="29"/>
      <c r="IF33" s="29"/>
      <c r="IG33" s="29"/>
      <c r="IH33" s="29"/>
      <c r="II33" s="29"/>
      <c r="IJ33" s="29"/>
      <c r="IK33" s="29"/>
      <c r="IL33" s="29"/>
      <c r="IM33" s="29"/>
      <c r="IN33" s="29"/>
      <c r="IO33" s="29"/>
      <c r="IP33" s="29"/>
      <c r="IQ33" s="29"/>
      <c r="IR33" s="29"/>
    </row>
    <row r="34" spans="1:252" s="30" customFormat="1" ht="14.25" x14ac:dyDescent="0.45">
      <c r="A34" s="24"/>
      <c r="B34" s="24"/>
      <c r="C34" s="1"/>
      <c r="D34" s="25"/>
      <c r="E34" s="25"/>
      <c r="F34" s="25"/>
      <c r="G34" s="25"/>
      <c r="H34" s="25"/>
      <c r="I34" s="24"/>
      <c r="J34" s="24"/>
      <c r="K34" s="24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</row>
    <row r="35" spans="1:252" ht="15" x14ac:dyDescent="0.55000000000000004">
      <c r="A35" s="1"/>
      <c r="C35" s="1"/>
      <c r="D35" s="25"/>
      <c r="E35" s="25"/>
      <c r="F35" s="25"/>
      <c r="G35" s="25"/>
      <c r="H35" s="25"/>
      <c r="I35" s="1"/>
      <c r="J35" s="1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29"/>
      <c r="FL35" s="2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29"/>
      <c r="GF35" s="2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29"/>
      <c r="GZ35" s="29"/>
      <c r="HA35" s="29"/>
      <c r="HB35" s="29"/>
      <c r="HC35" s="29"/>
      <c r="HD35" s="29"/>
      <c r="HE35" s="29"/>
      <c r="HF35" s="29"/>
      <c r="HG35" s="29"/>
      <c r="HH35" s="29"/>
      <c r="HI35" s="29"/>
      <c r="HJ35" s="29"/>
      <c r="HK35" s="29"/>
      <c r="HL35" s="29"/>
      <c r="HM35" s="29"/>
      <c r="HN35" s="29"/>
      <c r="HO35" s="29"/>
      <c r="HP35" s="29"/>
      <c r="HQ35" s="29"/>
      <c r="HR35" s="29"/>
      <c r="HS35" s="29"/>
      <c r="HT35" s="29"/>
      <c r="HU35" s="29"/>
      <c r="HV35" s="29"/>
      <c r="HW35" s="29"/>
      <c r="HX35" s="29"/>
      <c r="HY35" s="29"/>
      <c r="HZ35" s="29"/>
      <c r="IA35" s="29"/>
      <c r="IB35" s="29"/>
      <c r="IC35" s="29"/>
      <c r="ID35" s="29"/>
      <c r="IE35" s="29"/>
      <c r="IF35" s="29"/>
      <c r="IG35" s="29"/>
      <c r="IH35" s="29"/>
      <c r="II35" s="29"/>
      <c r="IJ35" s="29"/>
      <c r="IK35" s="29"/>
      <c r="IL35" s="29"/>
      <c r="IM35" s="29"/>
      <c r="IN35" s="29"/>
      <c r="IO35" s="29"/>
      <c r="IP35" s="29"/>
      <c r="IQ35" s="29"/>
      <c r="IR35" s="29"/>
    </row>
    <row r="36" spans="1:252" ht="15" x14ac:dyDescent="0.55000000000000004">
      <c r="A36" s="1"/>
      <c r="B36" s="28"/>
      <c r="C36" s="27"/>
      <c r="D36" s="26"/>
      <c r="E36" s="26"/>
      <c r="F36" s="26"/>
      <c r="G36" s="26"/>
      <c r="H36" s="26"/>
      <c r="I36" s="1"/>
      <c r="J36" s="1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29"/>
      <c r="DX36" s="2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29"/>
      <c r="ER36" s="2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29"/>
      <c r="FL36" s="2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29"/>
      <c r="GF36" s="2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29"/>
      <c r="GZ36" s="29"/>
      <c r="HA36" s="29"/>
      <c r="HB36" s="29"/>
      <c r="HC36" s="29"/>
      <c r="HD36" s="29"/>
      <c r="HE36" s="29"/>
      <c r="HF36" s="29"/>
      <c r="HG36" s="29"/>
      <c r="HH36" s="29"/>
      <c r="HI36" s="29"/>
      <c r="HJ36" s="29"/>
      <c r="HK36" s="29"/>
      <c r="HL36" s="29"/>
      <c r="HM36" s="29"/>
      <c r="HN36" s="29"/>
      <c r="HO36" s="29"/>
      <c r="HP36" s="29"/>
      <c r="HQ36" s="29"/>
      <c r="HR36" s="29"/>
      <c r="HS36" s="29"/>
      <c r="HT36" s="29"/>
      <c r="HU36" s="29"/>
      <c r="HV36" s="29"/>
      <c r="HW36" s="29"/>
      <c r="HX36" s="29"/>
      <c r="HY36" s="29"/>
      <c r="HZ36" s="29"/>
      <c r="IA36" s="29"/>
      <c r="IB36" s="29"/>
      <c r="IC36" s="29"/>
      <c r="ID36" s="29"/>
      <c r="IE36" s="29"/>
      <c r="IF36" s="29"/>
      <c r="IG36" s="29"/>
      <c r="IH36" s="29"/>
      <c r="II36" s="29"/>
      <c r="IJ36" s="29"/>
      <c r="IK36" s="29"/>
      <c r="IL36" s="29"/>
      <c r="IM36" s="29"/>
      <c r="IN36" s="29"/>
      <c r="IO36" s="29"/>
      <c r="IP36" s="29"/>
      <c r="IQ36" s="29"/>
      <c r="IR36" s="29"/>
    </row>
    <row r="37" spans="1:252" ht="15" x14ac:dyDescent="0.55000000000000004">
      <c r="A37" s="1"/>
      <c r="B37" s="1"/>
      <c r="C37" s="1"/>
      <c r="D37" s="25"/>
      <c r="E37" s="25"/>
      <c r="F37" s="25"/>
      <c r="G37" s="25"/>
      <c r="H37" s="25"/>
      <c r="I37" s="1"/>
      <c r="J37" s="1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29"/>
      <c r="DZ37" s="29"/>
      <c r="EA37" s="29"/>
      <c r="EB37" s="29"/>
      <c r="EC37" s="29"/>
      <c r="ED37" s="29"/>
      <c r="EE37" s="29"/>
      <c r="EF37" s="29"/>
      <c r="EG37" s="29"/>
      <c r="EH37" s="29"/>
      <c r="EI37" s="29"/>
      <c r="EJ37" s="29"/>
      <c r="EK37" s="29"/>
      <c r="EL37" s="29"/>
      <c r="EM37" s="29"/>
      <c r="EN37" s="29"/>
      <c r="EO37" s="29"/>
      <c r="EP37" s="29"/>
      <c r="EQ37" s="29"/>
      <c r="ER37" s="29"/>
      <c r="ES37" s="29"/>
      <c r="ET37" s="29"/>
      <c r="EU37" s="29"/>
      <c r="EV37" s="29"/>
      <c r="EW37" s="29"/>
      <c r="EX37" s="29"/>
      <c r="EY37" s="29"/>
      <c r="EZ37" s="29"/>
      <c r="FA37" s="29"/>
      <c r="FB37" s="29"/>
      <c r="FC37" s="29"/>
      <c r="FD37" s="29"/>
      <c r="FE37" s="29"/>
      <c r="FF37" s="29"/>
      <c r="FG37" s="29"/>
      <c r="FH37" s="29"/>
      <c r="FI37" s="29"/>
      <c r="FJ37" s="29"/>
      <c r="FK37" s="29"/>
      <c r="FL37" s="29"/>
      <c r="FM37" s="29"/>
      <c r="FN37" s="29"/>
      <c r="FO37" s="29"/>
      <c r="FP37" s="29"/>
      <c r="FQ37" s="29"/>
      <c r="FR37" s="29"/>
      <c r="FS37" s="29"/>
      <c r="FT37" s="29"/>
      <c r="FU37" s="29"/>
      <c r="FV37" s="29"/>
      <c r="FW37" s="29"/>
      <c r="FX37" s="29"/>
      <c r="FY37" s="29"/>
      <c r="FZ37" s="29"/>
      <c r="GA37" s="29"/>
      <c r="GB37" s="29"/>
      <c r="GC37" s="29"/>
      <c r="GD37" s="29"/>
      <c r="GE37" s="29"/>
      <c r="GF37" s="29"/>
      <c r="GG37" s="29"/>
      <c r="GH37" s="29"/>
      <c r="GI37" s="29"/>
      <c r="GJ37" s="29"/>
      <c r="GK37" s="29"/>
      <c r="GL37" s="29"/>
      <c r="GM37" s="29"/>
      <c r="GN37" s="29"/>
      <c r="GO37" s="29"/>
      <c r="GP37" s="29"/>
      <c r="GQ37" s="29"/>
      <c r="GR37" s="29"/>
      <c r="GS37" s="29"/>
      <c r="GT37" s="29"/>
      <c r="GU37" s="29"/>
      <c r="GV37" s="29"/>
      <c r="GW37" s="29"/>
      <c r="GX37" s="29"/>
      <c r="GY37" s="29"/>
      <c r="GZ37" s="29"/>
      <c r="HA37" s="29"/>
      <c r="HB37" s="29"/>
      <c r="HC37" s="29"/>
      <c r="HD37" s="29"/>
      <c r="HE37" s="29"/>
      <c r="HF37" s="29"/>
      <c r="HG37" s="29"/>
      <c r="HH37" s="29"/>
      <c r="HI37" s="29"/>
      <c r="HJ37" s="29"/>
      <c r="HK37" s="29"/>
      <c r="HL37" s="29"/>
      <c r="HM37" s="29"/>
      <c r="HN37" s="29"/>
      <c r="HO37" s="29"/>
      <c r="HP37" s="29"/>
      <c r="HQ37" s="29"/>
      <c r="HR37" s="29"/>
      <c r="HS37" s="29"/>
      <c r="HT37" s="29"/>
      <c r="HU37" s="29"/>
      <c r="HV37" s="29"/>
      <c r="HW37" s="29"/>
      <c r="HX37" s="29"/>
      <c r="HY37" s="29"/>
      <c r="HZ37" s="29"/>
      <c r="IA37" s="29"/>
      <c r="IB37" s="29"/>
      <c r="IC37" s="29"/>
      <c r="ID37" s="29"/>
      <c r="IE37" s="29"/>
      <c r="IF37" s="29"/>
      <c r="IG37" s="29"/>
      <c r="IH37" s="29"/>
      <c r="II37" s="29"/>
      <c r="IJ37" s="29"/>
      <c r="IK37" s="29"/>
      <c r="IL37" s="29"/>
      <c r="IM37" s="29"/>
      <c r="IN37" s="29"/>
      <c r="IO37" s="29"/>
      <c r="IP37" s="29"/>
      <c r="IQ37" s="29"/>
      <c r="IR37" s="29"/>
    </row>
    <row r="38" spans="1:252" s="30" customFormat="1" ht="14.25" x14ac:dyDescent="0.45">
      <c r="A38" s="24"/>
      <c r="B38" s="28"/>
      <c r="C38" s="27"/>
      <c r="D38" s="26"/>
      <c r="E38" s="26"/>
      <c r="F38" s="26"/>
      <c r="G38" s="26"/>
      <c r="H38" s="26"/>
      <c r="I38" s="24"/>
      <c r="J38" s="24"/>
      <c r="K38" s="24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</row>
    <row r="39" spans="1:252" ht="15" x14ac:dyDescent="0.55000000000000004">
      <c r="A39" s="1"/>
      <c r="B39" s="1"/>
      <c r="C39" s="1"/>
      <c r="D39" s="25"/>
      <c r="E39" s="25"/>
      <c r="F39" s="25"/>
      <c r="G39" s="25"/>
      <c r="H39" s="25"/>
      <c r="I39" s="1"/>
      <c r="J39" s="1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29"/>
      <c r="ER39" s="2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29"/>
      <c r="FL39" s="2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29"/>
      <c r="GF39" s="2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29"/>
      <c r="GZ39" s="29"/>
      <c r="HA39" s="29"/>
      <c r="HB39" s="29"/>
      <c r="HC39" s="29"/>
      <c r="HD39" s="29"/>
      <c r="HE39" s="29"/>
      <c r="HF39" s="29"/>
      <c r="HG39" s="29"/>
      <c r="HH39" s="29"/>
      <c r="HI39" s="29"/>
      <c r="HJ39" s="29"/>
      <c r="HK39" s="29"/>
      <c r="HL39" s="29"/>
      <c r="HM39" s="29"/>
      <c r="HN39" s="29"/>
      <c r="HO39" s="29"/>
      <c r="HP39" s="29"/>
      <c r="HQ39" s="29"/>
      <c r="HR39" s="29"/>
      <c r="HS39" s="29"/>
      <c r="HT39" s="29"/>
      <c r="HU39" s="29"/>
      <c r="HV39" s="29"/>
      <c r="HW39" s="29"/>
      <c r="HX39" s="29"/>
      <c r="HY39" s="29"/>
      <c r="HZ39" s="29"/>
      <c r="IA39" s="29"/>
      <c r="IB39" s="29"/>
      <c r="IC39" s="29"/>
      <c r="ID39" s="29"/>
      <c r="IE39" s="29"/>
      <c r="IF39" s="29"/>
      <c r="IG39" s="29"/>
      <c r="IH39" s="29"/>
      <c r="II39" s="29"/>
      <c r="IJ39" s="29"/>
      <c r="IK39" s="29"/>
      <c r="IL39" s="29"/>
      <c r="IM39" s="29"/>
      <c r="IN39" s="29"/>
      <c r="IO39" s="29"/>
      <c r="IP39" s="29"/>
      <c r="IQ39" s="29"/>
      <c r="IR39" s="29"/>
    </row>
    <row r="40" spans="1:252" ht="15" x14ac:dyDescent="0.55000000000000004">
      <c r="A40" s="1"/>
      <c r="C40" s="1"/>
      <c r="D40" s="25"/>
      <c r="E40" s="25"/>
      <c r="F40" s="25"/>
      <c r="G40" s="25"/>
      <c r="H40" s="25"/>
      <c r="I40" s="1"/>
      <c r="J40" s="1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  <c r="EC40" s="29"/>
      <c r="ED40" s="29"/>
      <c r="EE40" s="29"/>
      <c r="EF40" s="29"/>
      <c r="EG40" s="29"/>
      <c r="EH40" s="29"/>
      <c r="EI40" s="29"/>
      <c r="EJ40" s="29"/>
      <c r="EK40" s="29"/>
      <c r="EL40" s="29"/>
      <c r="EM40" s="29"/>
      <c r="EN40" s="29"/>
      <c r="EO40" s="29"/>
      <c r="EP40" s="29"/>
      <c r="EQ40" s="29"/>
      <c r="ER40" s="29"/>
      <c r="ES40" s="29"/>
      <c r="ET40" s="29"/>
      <c r="EU40" s="29"/>
      <c r="EV40" s="29"/>
      <c r="EW40" s="29"/>
      <c r="EX40" s="29"/>
      <c r="EY40" s="29"/>
      <c r="EZ40" s="29"/>
      <c r="FA40" s="29"/>
      <c r="FB40" s="29"/>
      <c r="FC40" s="29"/>
      <c r="FD40" s="29"/>
      <c r="FE40" s="29"/>
      <c r="FF40" s="29"/>
      <c r="FG40" s="29"/>
      <c r="FH40" s="29"/>
      <c r="FI40" s="29"/>
      <c r="FJ40" s="29"/>
      <c r="FK40" s="29"/>
      <c r="FL40" s="29"/>
      <c r="FM40" s="29"/>
      <c r="FN40" s="29"/>
      <c r="FO40" s="29"/>
      <c r="FP40" s="29"/>
      <c r="FQ40" s="29"/>
      <c r="FR40" s="29"/>
      <c r="FS40" s="29"/>
      <c r="FT40" s="29"/>
      <c r="FU40" s="29"/>
      <c r="FV40" s="29"/>
      <c r="FW40" s="29"/>
      <c r="FX40" s="29"/>
      <c r="FY40" s="29"/>
      <c r="FZ40" s="29"/>
      <c r="GA40" s="29"/>
      <c r="GB40" s="29"/>
      <c r="GC40" s="29"/>
      <c r="GD40" s="29"/>
      <c r="GE40" s="29"/>
      <c r="GF40" s="29"/>
      <c r="GG40" s="29"/>
      <c r="GH40" s="29"/>
      <c r="GI40" s="29"/>
      <c r="GJ40" s="29"/>
      <c r="GK40" s="29"/>
      <c r="GL40" s="29"/>
      <c r="GM40" s="29"/>
      <c r="GN40" s="29"/>
      <c r="GO40" s="29"/>
      <c r="GP40" s="29"/>
      <c r="GQ40" s="29"/>
      <c r="GR40" s="29"/>
      <c r="GS40" s="29"/>
      <c r="GT40" s="29"/>
      <c r="GU40" s="29"/>
      <c r="GV40" s="29"/>
      <c r="GW40" s="29"/>
      <c r="GX40" s="29"/>
      <c r="GY40" s="29"/>
      <c r="GZ40" s="29"/>
      <c r="HA40" s="29"/>
      <c r="HB40" s="29"/>
      <c r="HC40" s="29"/>
      <c r="HD40" s="29"/>
      <c r="HE40" s="29"/>
      <c r="HF40" s="29"/>
      <c r="HG40" s="29"/>
      <c r="HH40" s="29"/>
      <c r="HI40" s="29"/>
      <c r="HJ40" s="29"/>
      <c r="HK40" s="29"/>
      <c r="HL40" s="29"/>
      <c r="HM40" s="29"/>
      <c r="HN40" s="29"/>
      <c r="HO40" s="29"/>
      <c r="HP40" s="29"/>
      <c r="HQ40" s="29"/>
      <c r="HR40" s="29"/>
      <c r="HS40" s="29"/>
      <c r="HT40" s="29"/>
      <c r="HU40" s="29"/>
      <c r="HV40" s="29"/>
      <c r="HW40" s="29"/>
      <c r="HX40" s="29"/>
      <c r="HY40" s="29"/>
      <c r="HZ40" s="29"/>
      <c r="IA40" s="29"/>
      <c r="IB40" s="29"/>
      <c r="IC40" s="29"/>
      <c r="ID40" s="29"/>
      <c r="IE40" s="29"/>
      <c r="IF40" s="29"/>
      <c r="IG40" s="29"/>
      <c r="IH40" s="29"/>
      <c r="II40" s="29"/>
      <c r="IJ40" s="29"/>
      <c r="IK40" s="29"/>
      <c r="IL40" s="29"/>
      <c r="IM40" s="29"/>
      <c r="IN40" s="29"/>
      <c r="IO40" s="29"/>
      <c r="IP40" s="29"/>
      <c r="IQ40" s="29"/>
      <c r="IR40" s="29"/>
    </row>
    <row r="41" spans="1:252" ht="15" x14ac:dyDescent="0.55000000000000004">
      <c r="A41" s="1"/>
      <c r="C41" s="1"/>
      <c r="D41" s="25"/>
      <c r="E41" s="25"/>
      <c r="F41" s="25"/>
      <c r="G41" s="25"/>
      <c r="H41" s="25"/>
      <c r="I41" s="1"/>
      <c r="J41" s="1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29"/>
      <c r="ER41" s="2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29"/>
      <c r="FL41" s="2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29"/>
      <c r="GF41" s="2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29"/>
      <c r="GZ41" s="29"/>
      <c r="HA41" s="29"/>
      <c r="HB41" s="29"/>
      <c r="HC41" s="29"/>
      <c r="HD41" s="29"/>
      <c r="HE41" s="29"/>
      <c r="HF41" s="29"/>
      <c r="HG41" s="29"/>
      <c r="HH41" s="29"/>
      <c r="HI41" s="29"/>
      <c r="HJ41" s="29"/>
      <c r="HK41" s="29"/>
      <c r="HL41" s="29"/>
      <c r="HM41" s="29"/>
      <c r="HN41" s="29"/>
      <c r="HO41" s="29"/>
      <c r="HP41" s="29"/>
      <c r="HQ41" s="29"/>
      <c r="HR41" s="29"/>
      <c r="HS41" s="29"/>
      <c r="HT41" s="29"/>
      <c r="HU41" s="29"/>
      <c r="HV41" s="29"/>
      <c r="HW41" s="29"/>
      <c r="HX41" s="29"/>
      <c r="HY41" s="29"/>
      <c r="HZ41" s="29"/>
      <c r="IA41" s="29"/>
      <c r="IB41" s="29"/>
      <c r="IC41" s="29"/>
      <c r="ID41" s="29"/>
      <c r="IE41" s="29"/>
      <c r="IF41" s="29"/>
      <c r="IG41" s="29"/>
      <c r="IH41" s="29"/>
      <c r="II41" s="29"/>
      <c r="IJ41" s="29"/>
      <c r="IK41" s="29"/>
      <c r="IL41" s="29"/>
      <c r="IM41" s="29"/>
      <c r="IN41" s="29"/>
      <c r="IO41" s="29"/>
      <c r="IP41" s="29"/>
      <c r="IQ41" s="29"/>
      <c r="IR41" s="29"/>
    </row>
    <row r="42" spans="1:252" ht="15" x14ac:dyDescent="0.55000000000000004">
      <c r="A42" s="1"/>
      <c r="B42" s="28"/>
      <c r="C42" s="27"/>
      <c r="D42" s="26"/>
      <c r="E42" s="26"/>
      <c r="F42" s="26"/>
      <c r="G42" s="26"/>
      <c r="H42" s="26"/>
      <c r="I42" s="1"/>
      <c r="J42" s="1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29"/>
      <c r="ER42" s="2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29"/>
      <c r="FL42" s="2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29"/>
      <c r="GF42" s="2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  <c r="GZ42" s="29"/>
      <c r="HA42" s="29"/>
      <c r="HB42" s="29"/>
      <c r="HC42" s="29"/>
      <c r="HD42" s="29"/>
      <c r="HE42" s="29"/>
      <c r="HF42" s="29"/>
      <c r="HG42" s="29"/>
      <c r="HH42" s="29"/>
      <c r="HI42" s="29"/>
      <c r="HJ42" s="29"/>
      <c r="HK42" s="29"/>
      <c r="HL42" s="29"/>
      <c r="HM42" s="29"/>
      <c r="HN42" s="29"/>
      <c r="HO42" s="29"/>
      <c r="HP42" s="29"/>
      <c r="HQ42" s="29"/>
      <c r="HR42" s="29"/>
      <c r="HS42" s="29"/>
      <c r="HT42" s="29"/>
      <c r="HU42" s="29"/>
      <c r="HV42" s="29"/>
      <c r="HW42" s="29"/>
      <c r="HX42" s="29"/>
      <c r="HY42" s="29"/>
      <c r="HZ42" s="29"/>
      <c r="IA42" s="29"/>
      <c r="IB42" s="29"/>
      <c r="IC42" s="29"/>
      <c r="ID42" s="29"/>
      <c r="IE42" s="29"/>
      <c r="IF42" s="29"/>
      <c r="IG42" s="29"/>
      <c r="IH42" s="29"/>
      <c r="II42" s="29"/>
      <c r="IJ42" s="29"/>
      <c r="IK42" s="29"/>
      <c r="IL42" s="29"/>
      <c r="IM42" s="29"/>
      <c r="IN42" s="29"/>
      <c r="IO42" s="29"/>
      <c r="IP42" s="29"/>
      <c r="IQ42" s="29"/>
      <c r="IR42" s="29"/>
    </row>
    <row r="43" spans="1:252" ht="15" x14ac:dyDescent="0.55000000000000004">
      <c r="A43" s="1"/>
      <c r="B43" s="1"/>
      <c r="C43" s="1"/>
      <c r="D43" s="25"/>
      <c r="E43" s="25"/>
      <c r="F43" s="25"/>
      <c r="G43" s="25"/>
      <c r="H43" s="25"/>
      <c r="I43" s="1"/>
      <c r="J43" s="1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  <c r="EK43" s="29"/>
      <c r="EL43" s="29"/>
      <c r="EM43" s="29"/>
      <c r="EN43" s="29"/>
      <c r="EO43" s="29"/>
      <c r="EP43" s="29"/>
      <c r="EQ43" s="29"/>
      <c r="ER43" s="29"/>
      <c r="ES43" s="29"/>
      <c r="ET43" s="29"/>
      <c r="EU43" s="29"/>
      <c r="EV43" s="29"/>
      <c r="EW43" s="29"/>
      <c r="EX43" s="29"/>
      <c r="EY43" s="29"/>
      <c r="EZ43" s="29"/>
      <c r="FA43" s="29"/>
      <c r="FB43" s="29"/>
      <c r="FC43" s="29"/>
      <c r="FD43" s="29"/>
      <c r="FE43" s="29"/>
      <c r="FF43" s="29"/>
      <c r="FG43" s="29"/>
      <c r="FH43" s="29"/>
      <c r="FI43" s="29"/>
      <c r="FJ43" s="29"/>
      <c r="FK43" s="29"/>
      <c r="FL43" s="29"/>
      <c r="FM43" s="29"/>
      <c r="FN43" s="29"/>
      <c r="FO43" s="29"/>
      <c r="FP43" s="29"/>
      <c r="FQ43" s="29"/>
      <c r="FR43" s="29"/>
      <c r="FS43" s="29"/>
      <c r="FT43" s="29"/>
      <c r="FU43" s="29"/>
      <c r="FV43" s="29"/>
      <c r="FW43" s="29"/>
      <c r="FX43" s="29"/>
      <c r="FY43" s="29"/>
      <c r="FZ43" s="29"/>
      <c r="GA43" s="29"/>
      <c r="GB43" s="29"/>
      <c r="GC43" s="29"/>
      <c r="GD43" s="29"/>
      <c r="GE43" s="29"/>
      <c r="GF43" s="29"/>
      <c r="GG43" s="29"/>
      <c r="GH43" s="29"/>
      <c r="GI43" s="29"/>
      <c r="GJ43" s="29"/>
      <c r="GK43" s="29"/>
      <c r="GL43" s="29"/>
      <c r="GM43" s="29"/>
      <c r="GN43" s="29"/>
      <c r="GO43" s="29"/>
      <c r="GP43" s="29"/>
      <c r="GQ43" s="29"/>
      <c r="GR43" s="29"/>
      <c r="GS43" s="29"/>
      <c r="GT43" s="29"/>
      <c r="GU43" s="29"/>
      <c r="GV43" s="29"/>
      <c r="GW43" s="29"/>
      <c r="GX43" s="29"/>
      <c r="GY43" s="29"/>
      <c r="GZ43" s="29"/>
      <c r="HA43" s="29"/>
      <c r="HB43" s="29"/>
      <c r="HC43" s="29"/>
      <c r="HD43" s="29"/>
      <c r="HE43" s="29"/>
      <c r="HF43" s="29"/>
      <c r="HG43" s="29"/>
      <c r="HH43" s="29"/>
      <c r="HI43" s="29"/>
      <c r="HJ43" s="29"/>
      <c r="HK43" s="29"/>
      <c r="HL43" s="29"/>
      <c r="HM43" s="29"/>
      <c r="HN43" s="29"/>
      <c r="HO43" s="29"/>
      <c r="HP43" s="29"/>
      <c r="HQ43" s="29"/>
      <c r="HR43" s="29"/>
      <c r="HS43" s="29"/>
      <c r="HT43" s="29"/>
      <c r="HU43" s="29"/>
      <c r="HV43" s="29"/>
      <c r="HW43" s="29"/>
      <c r="HX43" s="29"/>
      <c r="HY43" s="29"/>
      <c r="HZ43" s="29"/>
      <c r="IA43" s="29"/>
      <c r="IB43" s="29"/>
      <c r="IC43" s="29"/>
      <c r="ID43" s="29"/>
      <c r="IE43" s="29"/>
      <c r="IF43" s="29"/>
      <c r="IG43" s="29"/>
      <c r="IH43" s="29"/>
      <c r="II43" s="29"/>
      <c r="IJ43" s="29"/>
      <c r="IK43" s="29"/>
      <c r="IL43" s="29"/>
      <c r="IM43" s="29"/>
      <c r="IN43" s="29"/>
      <c r="IO43" s="29"/>
      <c r="IP43" s="29"/>
      <c r="IQ43" s="29"/>
      <c r="IR43" s="29"/>
    </row>
    <row r="44" spans="1:252" ht="15" x14ac:dyDescent="0.55000000000000004">
      <c r="A44" s="1"/>
      <c r="B44" s="1"/>
      <c r="C44" s="1"/>
      <c r="D44" s="32"/>
      <c r="E44" s="32"/>
      <c r="F44" s="32"/>
      <c r="G44" s="32"/>
      <c r="H44" s="32"/>
      <c r="I44" s="1"/>
      <c r="J44" s="1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29"/>
      <c r="FL44" s="2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29"/>
      <c r="GF44" s="2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  <c r="GZ44" s="29"/>
      <c r="HA44" s="29"/>
      <c r="HB44" s="29"/>
      <c r="HC44" s="29"/>
      <c r="HD44" s="29"/>
      <c r="HE44" s="29"/>
      <c r="HF44" s="29"/>
      <c r="HG44" s="29"/>
      <c r="HH44" s="29"/>
      <c r="HI44" s="29"/>
      <c r="HJ44" s="29"/>
      <c r="HK44" s="29"/>
      <c r="HL44" s="29"/>
      <c r="HM44" s="29"/>
      <c r="HN44" s="29"/>
      <c r="HO44" s="29"/>
      <c r="HP44" s="29"/>
      <c r="HQ44" s="29"/>
      <c r="HR44" s="29"/>
      <c r="HS44" s="29"/>
      <c r="HT44" s="29"/>
      <c r="HU44" s="29"/>
      <c r="HV44" s="29"/>
      <c r="HW44" s="29"/>
      <c r="HX44" s="29"/>
      <c r="HY44" s="29"/>
      <c r="HZ44" s="29"/>
      <c r="IA44" s="29"/>
      <c r="IB44" s="29"/>
      <c r="IC44" s="29"/>
      <c r="ID44" s="29"/>
      <c r="IE44" s="29"/>
      <c r="IF44" s="29"/>
      <c r="IG44" s="29"/>
      <c r="IH44" s="29"/>
      <c r="II44" s="29"/>
      <c r="IJ44" s="29"/>
      <c r="IK44" s="29"/>
      <c r="IL44" s="29"/>
      <c r="IM44" s="29"/>
      <c r="IN44" s="29"/>
      <c r="IO44" s="29"/>
      <c r="IP44" s="29"/>
      <c r="IQ44" s="29"/>
      <c r="IR44" s="29"/>
    </row>
    <row r="45" spans="1:252" s="30" customFormat="1" ht="14.25" x14ac:dyDescent="0.45">
      <c r="A45" s="31"/>
      <c r="B45" s="35"/>
      <c r="C45" s="34"/>
      <c r="D45" s="33"/>
      <c r="E45" s="33"/>
      <c r="F45" s="33"/>
      <c r="G45" s="33"/>
      <c r="H45" s="33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</row>
    <row r="46" spans="1:252" ht="15" x14ac:dyDescent="0.55000000000000004">
      <c r="A46" s="1"/>
      <c r="B46" s="1"/>
      <c r="C46" s="1"/>
      <c r="D46" s="32"/>
      <c r="E46" s="32"/>
      <c r="F46" s="32"/>
      <c r="G46" s="32"/>
      <c r="H46" s="32"/>
      <c r="I46" s="1"/>
      <c r="J46" s="1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  <c r="EK46" s="29"/>
      <c r="EL46" s="29"/>
      <c r="EM46" s="29"/>
      <c r="EN46" s="29"/>
      <c r="EO46" s="29"/>
      <c r="EP46" s="29"/>
      <c r="EQ46" s="29"/>
      <c r="ER46" s="29"/>
      <c r="ES46" s="29"/>
      <c r="ET46" s="29"/>
      <c r="EU46" s="29"/>
      <c r="EV46" s="29"/>
      <c r="EW46" s="29"/>
      <c r="EX46" s="29"/>
      <c r="EY46" s="29"/>
      <c r="EZ46" s="29"/>
      <c r="FA46" s="29"/>
      <c r="FB46" s="29"/>
      <c r="FC46" s="29"/>
      <c r="FD46" s="29"/>
      <c r="FE46" s="29"/>
      <c r="FF46" s="29"/>
      <c r="FG46" s="29"/>
      <c r="FH46" s="29"/>
      <c r="FI46" s="29"/>
      <c r="FJ46" s="29"/>
      <c r="FK46" s="29"/>
      <c r="FL46" s="29"/>
      <c r="FM46" s="29"/>
      <c r="FN46" s="29"/>
      <c r="FO46" s="29"/>
      <c r="FP46" s="29"/>
      <c r="FQ46" s="29"/>
      <c r="FR46" s="29"/>
      <c r="FS46" s="29"/>
      <c r="FT46" s="29"/>
      <c r="FU46" s="29"/>
      <c r="FV46" s="29"/>
      <c r="FW46" s="29"/>
      <c r="FX46" s="29"/>
      <c r="FY46" s="29"/>
      <c r="FZ46" s="29"/>
      <c r="GA46" s="29"/>
      <c r="GB46" s="29"/>
      <c r="GC46" s="29"/>
      <c r="GD46" s="29"/>
      <c r="GE46" s="29"/>
      <c r="GF46" s="29"/>
      <c r="GG46" s="29"/>
      <c r="GH46" s="29"/>
      <c r="GI46" s="29"/>
      <c r="GJ46" s="29"/>
      <c r="GK46" s="29"/>
      <c r="GL46" s="29"/>
      <c r="GM46" s="29"/>
      <c r="GN46" s="29"/>
      <c r="GO46" s="29"/>
      <c r="GP46" s="29"/>
      <c r="GQ46" s="29"/>
      <c r="GR46" s="29"/>
      <c r="GS46" s="29"/>
      <c r="GT46" s="29"/>
      <c r="GU46" s="29"/>
      <c r="GV46" s="29"/>
      <c r="GW46" s="29"/>
      <c r="GX46" s="29"/>
      <c r="GY46" s="29"/>
      <c r="GZ46" s="29"/>
      <c r="HA46" s="29"/>
      <c r="HB46" s="29"/>
      <c r="HC46" s="29"/>
      <c r="HD46" s="29"/>
      <c r="HE46" s="29"/>
      <c r="HF46" s="29"/>
      <c r="HG46" s="29"/>
      <c r="HH46" s="29"/>
      <c r="HI46" s="29"/>
      <c r="HJ46" s="29"/>
      <c r="HK46" s="29"/>
      <c r="HL46" s="29"/>
      <c r="HM46" s="29"/>
      <c r="HN46" s="29"/>
      <c r="HO46" s="29"/>
      <c r="HP46" s="29"/>
      <c r="HQ46" s="29"/>
      <c r="HR46" s="29"/>
      <c r="HS46" s="29"/>
      <c r="HT46" s="29"/>
      <c r="HU46" s="29"/>
      <c r="HV46" s="29"/>
      <c r="HW46" s="29"/>
      <c r="HX46" s="29"/>
      <c r="HY46" s="29"/>
      <c r="HZ46" s="29"/>
      <c r="IA46" s="29"/>
      <c r="IB46" s="29"/>
      <c r="IC46" s="29"/>
      <c r="ID46" s="29"/>
      <c r="IE46" s="29"/>
      <c r="IF46" s="29"/>
      <c r="IG46" s="29"/>
      <c r="IH46" s="29"/>
      <c r="II46" s="29"/>
      <c r="IJ46" s="29"/>
      <c r="IK46" s="29"/>
      <c r="IL46" s="29"/>
      <c r="IM46" s="29"/>
      <c r="IN46" s="29"/>
      <c r="IO46" s="29"/>
      <c r="IP46" s="29"/>
      <c r="IQ46" s="29"/>
      <c r="IR46" s="29"/>
    </row>
    <row r="47" spans="1:252" ht="15" x14ac:dyDescent="0.55000000000000004">
      <c r="A47" s="1"/>
      <c r="C47" s="1"/>
      <c r="D47" s="25"/>
      <c r="E47" s="25"/>
      <c r="F47" s="25"/>
      <c r="G47" s="25"/>
      <c r="H47" s="25"/>
      <c r="I47" s="1"/>
      <c r="J47" s="1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29"/>
      <c r="ER47" s="2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29"/>
      <c r="FL47" s="2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29"/>
      <c r="GF47" s="2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29"/>
      <c r="GZ47" s="29"/>
      <c r="HA47" s="29"/>
      <c r="HB47" s="29"/>
      <c r="HC47" s="29"/>
      <c r="HD47" s="29"/>
      <c r="HE47" s="29"/>
      <c r="HF47" s="29"/>
      <c r="HG47" s="29"/>
      <c r="HH47" s="29"/>
      <c r="HI47" s="29"/>
      <c r="HJ47" s="29"/>
      <c r="HK47" s="29"/>
      <c r="HL47" s="29"/>
      <c r="HM47" s="29"/>
      <c r="HN47" s="29"/>
      <c r="HO47" s="29"/>
      <c r="HP47" s="29"/>
      <c r="HQ47" s="29"/>
      <c r="HR47" s="29"/>
      <c r="HS47" s="29"/>
      <c r="HT47" s="29"/>
      <c r="HU47" s="29"/>
      <c r="HV47" s="29"/>
      <c r="HW47" s="29"/>
      <c r="HX47" s="29"/>
      <c r="HY47" s="29"/>
      <c r="HZ47" s="29"/>
      <c r="IA47" s="29"/>
      <c r="IB47" s="29"/>
      <c r="IC47" s="29"/>
      <c r="ID47" s="29"/>
      <c r="IE47" s="29"/>
      <c r="IF47" s="29"/>
      <c r="IG47" s="29"/>
      <c r="IH47" s="29"/>
      <c r="II47" s="29"/>
      <c r="IJ47" s="29"/>
      <c r="IK47" s="29"/>
      <c r="IL47" s="29"/>
      <c r="IM47" s="29"/>
      <c r="IN47" s="29"/>
      <c r="IO47" s="29"/>
      <c r="IP47" s="29"/>
      <c r="IQ47" s="29"/>
      <c r="IR47" s="29"/>
    </row>
    <row r="48" spans="1:252" ht="15" x14ac:dyDescent="0.55000000000000004">
      <c r="A48" s="1"/>
      <c r="C48" s="1"/>
      <c r="D48" s="25"/>
      <c r="E48" s="25"/>
      <c r="F48" s="25"/>
      <c r="G48" s="25"/>
      <c r="H48" s="25"/>
      <c r="I48" s="1"/>
      <c r="J48" s="1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29"/>
      <c r="ER48" s="2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29"/>
      <c r="FL48" s="2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29"/>
      <c r="GF48" s="2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  <c r="GZ48" s="29"/>
      <c r="HA48" s="29"/>
      <c r="HB48" s="29"/>
      <c r="HC48" s="29"/>
      <c r="HD48" s="29"/>
      <c r="HE48" s="29"/>
      <c r="HF48" s="29"/>
      <c r="HG48" s="29"/>
      <c r="HH48" s="29"/>
      <c r="HI48" s="29"/>
      <c r="HJ48" s="29"/>
      <c r="HK48" s="29"/>
      <c r="HL48" s="29"/>
      <c r="HM48" s="29"/>
      <c r="HN48" s="29"/>
      <c r="HO48" s="29"/>
      <c r="HP48" s="29"/>
      <c r="HQ48" s="29"/>
      <c r="HR48" s="29"/>
      <c r="HS48" s="29"/>
      <c r="HT48" s="29"/>
      <c r="HU48" s="29"/>
      <c r="HV48" s="29"/>
      <c r="HW48" s="29"/>
      <c r="HX48" s="29"/>
      <c r="HY48" s="29"/>
      <c r="HZ48" s="29"/>
      <c r="IA48" s="29"/>
      <c r="IB48" s="29"/>
      <c r="IC48" s="29"/>
      <c r="ID48" s="29"/>
      <c r="IE48" s="29"/>
      <c r="IF48" s="29"/>
      <c r="IG48" s="29"/>
      <c r="IH48" s="29"/>
      <c r="II48" s="29"/>
      <c r="IJ48" s="29"/>
      <c r="IK48" s="29"/>
      <c r="IL48" s="29"/>
      <c r="IM48" s="29"/>
      <c r="IN48" s="29"/>
      <c r="IO48" s="29"/>
      <c r="IP48" s="29"/>
      <c r="IQ48" s="29"/>
      <c r="IR48" s="29"/>
    </row>
    <row r="49" spans="1:252" s="30" customFormat="1" ht="14.25" x14ac:dyDescent="0.45">
      <c r="A49" s="24"/>
      <c r="B49" s="24"/>
      <c r="C49" s="1"/>
      <c r="D49" s="25"/>
      <c r="E49" s="25"/>
      <c r="F49" s="25"/>
      <c r="G49" s="25"/>
      <c r="H49" s="25"/>
      <c r="I49" s="24"/>
      <c r="J49" s="24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</row>
    <row r="50" spans="1:252" ht="15" x14ac:dyDescent="0.55000000000000004">
      <c r="A50" s="1"/>
      <c r="C50" s="1"/>
      <c r="D50" s="25"/>
      <c r="E50" s="25"/>
      <c r="F50" s="25"/>
      <c r="G50" s="25"/>
      <c r="H50" s="25"/>
      <c r="I50" s="1"/>
      <c r="J50" s="1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29"/>
      <c r="ER50" s="2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29"/>
      <c r="FL50" s="2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29"/>
      <c r="GF50" s="2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29"/>
      <c r="GZ50" s="29"/>
      <c r="HA50" s="29"/>
      <c r="HB50" s="29"/>
      <c r="HC50" s="29"/>
      <c r="HD50" s="29"/>
      <c r="HE50" s="29"/>
      <c r="HF50" s="29"/>
      <c r="HG50" s="29"/>
      <c r="HH50" s="29"/>
      <c r="HI50" s="29"/>
      <c r="HJ50" s="29"/>
      <c r="HK50" s="29"/>
      <c r="HL50" s="29"/>
      <c r="HM50" s="29"/>
      <c r="HN50" s="29"/>
      <c r="HO50" s="29"/>
      <c r="HP50" s="29"/>
      <c r="HQ50" s="29"/>
      <c r="HR50" s="29"/>
      <c r="HS50" s="29"/>
      <c r="HT50" s="29"/>
      <c r="HU50" s="29"/>
      <c r="HV50" s="29"/>
      <c r="HW50" s="29"/>
      <c r="HX50" s="29"/>
      <c r="HY50" s="29"/>
      <c r="HZ50" s="29"/>
      <c r="IA50" s="29"/>
      <c r="IB50" s="29"/>
      <c r="IC50" s="29"/>
      <c r="ID50" s="29"/>
      <c r="IE50" s="29"/>
      <c r="IF50" s="29"/>
      <c r="IG50" s="29"/>
      <c r="IH50" s="29"/>
      <c r="II50" s="29"/>
      <c r="IJ50" s="29"/>
      <c r="IK50" s="29"/>
      <c r="IL50" s="29"/>
      <c r="IM50" s="29"/>
      <c r="IN50" s="29"/>
      <c r="IO50" s="29"/>
      <c r="IP50" s="29"/>
      <c r="IQ50" s="29"/>
      <c r="IR50" s="29"/>
    </row>
    <row r="51" spans="1:252" ht="15" x14ac:dyDescent="0.55000000000000004">
      <c r="A51" s="1"/>
      <c r="B51" s="28"/>
      <c r="C51" s="27"/>
      <c r="D51" s="26"/>
      <c r="E51" s="26"/>
      <c r="F51" s="26"/>
      <c r="G51" s="26"/>
      <c r="H51" s="26"/>
      <c r="I51" s="1"/>
      <c r="J51" s="1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29"/>
      <c r="FL51" s="2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29"/>
      <c r="GF51" s="2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  <c r="GZ51" s="29"/>
      <c r="HA51" s="29"/>
      <c r="HB51" s="29"/>
      <c r="HC51" s="29"/>
      <c r="HD51" s="29"/>
      <c r="HE51" s="29"/>
      <c r="HF51" s="29"/>
      <c r="HG51" s="29"/>
      <c r="HH51" s="29"/>
      <c r="HI51" s="29"/>
      <c r="HJ51" s="29"/>
      <c r="HK51" s="29"/>
      <c r="HL51" s="29"/>
      <c r="HM51" s="29"/>
      <c r="HN51" s="29"/>
      <c r="HO51" s="29"/>
      <c r="HP51" s="29"/>
      <c r="HQ51" s="29"/>
      <c r="HR51" s="29"/>
      <c r="HS51" s="29"/>
      <c r="HT51" s="29"/>
      <c r="HU51" s="29"/>
      <c r="HV51" s="29"/>
      <c r="HW51" s="29"/>
      <c r="HX51" s="29"/>
      <c r="HY51" s="29"/>
      <c r="HZ51" s="29"/>
      <c r="IA51" s="29"/>
      <c r="IB51" s="29"/>
      <c r="IC51" s="29"/>
      <c r="ID51" s="29"/>
      <c r="IE51" s="29"/>
      <c r="IF51" s="29"/>
      <c r="IG51" s="29"/>
      <c r="IH51" s="29"/>
      <c r="II51" s="29"/>
      <c r="IJ51" s="29"/>
      <c r="IK51" s="29"/>
      <c r="IL51" s="29"/>
      <c r="IM51" s="29"/>
      <c r="IN51" s="29"/>
      <c r="IO51" s="29"/>
      <c r="IP51" s="29"/>
      <c r="IQ51" s="29"/>
      <c r="IR51" s="29"/>
    </row>
    <row r="52" spans="1:252" s="30" customFormat="1" ht="14.25" x14ac:dyDescent="0.45">
      <c r="A52" s="24"/>
      <c r="B52" s="24"/>
      <c r="C52" s="1"/>
      <c r="D52" s="25"/>
      <c r="E52" s="25"/>
      <c r="F52" s="25"/>
      <c r="G52" s="25"/>
      <c r="H52" s="25"/>
      <c r="I52" s="24"/>
      <c r="J52" s="24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</row>
    <row r="53" spans="1:252" ht="15" x14ac:dyDescent="0.55000000000000004">
      <c r="A53" s="1"/>
      <c r="C53" s="1"/>
      <c r="D53" s="25"/>
      <c r="E53" s="25"/>
      <c r="F53" s="25"/>
      <c r="G53" s="25"/>
      <c r="H53" s="25"/>
      <c r="I53" s="1"/>
      <c r="J53" s="1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29"/>
      <c r="ER53" s="2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29"/>
      <c r="FL53" s="2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29"/>
      <c r="II53" s="29"/>
      <c r="IJ53" s="29"/>
      <c r="IK53" s="29"/>
      <c r="IL53" s="29"/>
      <c r="IM53" s="29"/>
      <c r="IN53" s="29"/>
      <c r="IO53" s="29"/>
      <c r="IP53" s="29"/>
      <c r="IQ53" s="29"/>
      <c r="IR53" s="29"/>
    </row>
    <row r="54" spans="1:252" ht="15" x14ac:dyDescent="0.55000000000000004">
      <c r="A54" s="1"/>
      <c r="B54" s="28"/>
      <c r="C54" s="27"/>
      <c r="D54" s="26"/>
      <c r="E54" s="26"/>
      <c r="F54" s="26"/>
      <c r="G54" s="26"/>
      <c r="H54" s="26"/>
      <c r="I54" s="1"/>
      <c r="J54" s="1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29"/>
      <c r="ER54" s="2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29"/>
      <c r="FL54" s="2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29"/>
      <c r="GF54" s="2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29"/>
      <c r="II54" s="29"/>
      <c r="IJ54" s="29"/>
      <c r="IK54" s="29"/>
      <c r="IL54" s="29"/>
      <c r="IM54" s="29"/>
      <c r="IN54" s="29"/>
      <c r="IO54" s="29"/>
      <c r="IP54" s="29"/>
      <c r="IQ54" s="29"/>
      <c r="IR54" s="29"/>
    </row>
    <row r="55" spans="1:252" ht="15" x14ac:dyDescent="0.55000000000000004">
      <c r="A55" s="1"/>
      <c r="B55" s="1"/>
      <c r="C55" s="1"/>
      <c r="D55" s="25"/>
      <c r="E55" s="25"/>
      <c r="F55" s="25"/>
      <c r="G55" s="25"/>
      <c r="H55" s="25"/>
      <c r="I55" s="1"/>
      <c r="J55" s="1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  <c r="EC55" s="29"/>
      <c r="ED55" s="29"/>
      <c r="EE55" s="29"/>
      <c r="EF55" s="29"/>
      <c r="EG55" s="29"/>
      <c r="EH55" s="29"/>
      <c r="EI55" s="29"/>
      <c r="EJ55" s="29"/>
      <c r="EK55" s="29"/>
      <c r="EL55" s="29"/>
      <c r="EM55" s="29"/>
      <c r="EN55" s="29"/>
      <c r="EO55" s="29"/>
      <c r="EP55" s="29"/>
      <c r="EQ55" s="29"/>
      <c r="ER55" s="29"/>
      <c r="ES55" s="29"/>
      <c r="ET55" s="29"/>
      <c r="EU55" s="29"/>
      <c r="EV55" s="29"/>
      <c r="EW55" s="29"/>
      <c r="EX55" s="29"/>
      <c r="EY55" s="29"/>
      <c r="EZ55" s="29"/>
      <c r="FA55" s="29"/>
      <c r="FB55" s="29"/>
      <c r="FC55" s="29"/>
      <c r="FD55" s="29"/>
      <c r="FE55" s="29"/>
      <c r="FF55" s="29"/>
      <c r="FG55" s="29"/>
      <c r="FH55" s="29"/>
      <c r="FI55" s="29"/>
      <c r="FJ55" s="29"/>
      <c r="FK55" s="29"/>
      <c r="FL55" s="29"/>
      <c r="FM55" s="29"/>
      <c r="FN55" s="29"/>
      <c r="FO55" s="29"/>
      <c r="FP55" s="29"/>
      <c r="FQ55" s="29"/>
      <c r="FR55" s="29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29"/>
      <c r="II55" s="29"/>
      <c r="IJ55" s="29"/>
      <c r="IK55" s="29"/>
      <c r="IL55" s="29"/>
      <c r="IM55" s="29"/>
      <c r="IN55" s="29"/>
      <c r="IO55" s="29"/>
      <c r="IP55" s="29"/>
      <c r="IQ55" s="29"/>
      <c r="IR55" s="29"/>
    </row>
    <row r="56" spans="1:252" ht="15" x14ac:dyDescent="0.55000000000000004">
      <c r="A56" s="1"/>
      <c r="C56" s="1"/>
      <c r="D56" s="25"/>
      <c r="E56" s="25"/>
      <c r="F56" s="25"/>
      <c r="G56" s="25"/>
      <c r="H56" s="25"/>
      <c r="I56" s="1"/>
      <c r="J56" s="1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29"/>
      <c r="FL56" s="2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29"/>
      <c r="GF56" s="2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  <c r="GZ56" s="29"/>
      <c r="HA56" s="29"/>
      <c r="HB56" s="29"/>
      <c r="HC56" s="29"/>
      <c r="HD56" s="29"/>
      <c r="HE56" s="29"/>
      <c r="HF56" s="29"/>
      <c r="HG56" s="29"/>
      <c r="HH56" s="29"/>
      <c r="HI56" s="29"/>
      <c r="HJ56" s="29"/>
      <c r="HK56" s="29"/>
      <c r="HL56" s="29"/>
      <c r="HM56" s="29"/>
      <c r="HN56" s="29"/>
      <c r="HO56" s="29"/>
      <c r="HP56" s="29"/>
      <c r="HQ56" s="29"/>
      <c r="HR56" s="29"/>
      <c r="HS56" s="29"/>
      <c r="HT56" s="29"/>
      <c r="HU56" s="29"/>
      <c r="HV56" s="29"/>
      <c r="HW56" s="29"/>
      <c r="HX56" s="29"/>
      <c r="HY56" s="29"/>
      <c r="HZ56" s="29"/>
      <c r="IA56" s="29"/>
      <c r="IB56" s="29"/>
      <c r="IC56" s="29"/>
      <c r="ID56" s="29"/>
      <c r="IE56" s="29"/>
      <c r="IF56" s="29"/>
      <c r="IG56" s="29"/>
      <c r="IH56" s="29"/>
      <c r="II56" s="29"/>
      <c r="IJ56" s="29"/>
      <c r="IK56" s="29"/>
      <c r="IL56" s="29"/>
      <c r="IM56" s="29"/>
      <c r="IN56" s="29"/>
      <c r="IO56" s="29"/>
      <c r="IP56" s="29"/>
      <c r="IQ56" s="29"/>
      <c r="IR56" s="29"/>
    </row>
    <row r="57" spans="1:252" ht="15" x14ac:dyDescent="0.55000000000000004">
      <c r="A57" s="1"/>
      <c r="C57" s="1"/>
      <c r="D57" s="25"/>
      <c r="E57" s="25"/>
      <c r="F57" s="25"/>
      <c r="G57" s="25"/>
      <c r="H57" s="25"/>
      <c r="I57" s="1"/>
      <c r="J57" s="1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29"/>
      <c r="ER57" s="2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29"/>
      <c r="FL57" s="2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29"/>
      <c r="GF57" s="2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29"/>
      <c r="II57" s="29"/>
      <c r="IJ57" s="29"/>
      <c r="IK57" s="29"/>
      <c r="IL57" s="29"/>
      <c r="IM57" s="29"/>
      <c r="IN57" s="29"/>
      <c r="IO57" s="29"/>
      <c r="IP57" s="29"/>
      <c r="IQ57" s="29"/>
      <c r="IR57" s="29"/>
    </row>
    <row r="58" spans="1:252" ht="15" x14ac:dyDescent="0.55000000000000004">
      <c r="A58" s="1"/>
      <c r="C58" s="1"/>
      <c r="D58" s="25"/>
      <c r="E58" s="25"/>
      <c r="F58" s="25"/>
      <c r="G58" s="25"/>
      <c r="H58" s="25"/>
      <c r="I58" s="1"/>
      <c r="J58" s="1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29"/>
      <c r="DY58" s="29"/>
      <c r="DZ58" s="29"/>
      <c r="EA58" s="29"/>
      <c r="EB58" s="29"/>
      <c r="EC58" s="29"/>
      <c r="ED58" s="29"/>
      <c r="EE58" s="29"/>
      <c r="EF58" s="29"/>
      <c r="EG58" s="29"/>
      <c r="EH58" s="29"/>
      <c r="EI58" s="29"/>
      <c r="EJ58" s="29"/>
      <c r="EK58" s="29"/>
      <c r="EL58" s="29"/>
      <c r="EM58" s="29"/>
      <c r="EN58" s="29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EZ58" s="29"/>
      <c r="FA58" s="29"/>
      <c r="FB58" s="29"/>
      <c r="FC58" s="29"/>
      <c r="FD58" s="29"/>
      <c r="FE58" s="29"/>
      <c r="FF58" s="29"/>
      <c r="FG58" s="29"/>
      <c r="FH58" s="29"/>
      <c r="FI58" s="29"/>
      <c r="FJ58" s="29"/>
      <c r="FK58" s="29"/>
      <c r="FL58" s="29"/>
      <c r="FM58" s="29"/>
      <c r="FN58" s="29"/>
      <c r="FO58" s="29"/>
      <c r="FP58" s="29"/>
      <c r="FQ58" s="29"/>
      <c r="FR58" s="29"/>
      <c r="FS58" s="29"/>
      <c r="FT58" s="29"/>
      <c r="FU58" s="29"/>
      <c r="FV58" s="29"/>
      <c r="FW58" s="29"/>
      <c r="FX58" s="29"/>
      <c r="FY58" s="29"/>
      <c r="FZ58" s="29"/>
      <c r="GA58" s="29"/>
      <c r="GB58" s="29"/>
      <c r="GC58" s="29"/>
      <c r="GD58" s="29"/>
      <c r="GE58" s="29"/>
      <c r="GF58" s="29"/>
      <c r="GG58" s="29"/>
      <c r="GH58" s="29"/>
      <c r="GI58" s="29"/>
      <c r="GJ58" s="29"/>
      <c r="GK58" s="29"/>
      <c r="GL58" s="29"/>
      <c r="GM58" s="29"/>
      <c r="GN58" s="29"/>
      <c r="GO58" s="29"/>
      <c r="GP58" s="29"/>
      <c r="GQ58" s="29"/>
      <c r="GR58" s="29"/>
      <c r="GS58" s="29"/>
      <c r="GT58" s="29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29"/>
      <c r="HH58" s="29"/>
      <c r="HI58" s="29"/>
      <c r="HJ58" s="29"/>
      <c r="HK58" s="29"/>
      <c r="HL58" s="29"/>
      <c r="HM58" s="29"/>
      <c r="HN58" s="29"/>
      <c r="HO58" s="29"/>
      <c r="HP58" s="29"/>
      <c r="HQ58" s="29"/>
      <c r="HR58" s="29"/>
      <c r="HS58" s="29"/>
      <c r="HT58" s="29"/>
      <c r="HU58" s="29"/>
      <c r="HV58" s="29"/>
      <c r="HW58" s="29"/>
      <c r="HX58" s="29"/>
      <c r="HY58" s="29"/>
      <c r="HZ58" s="29"/>
      <c r="IA58" s="29"/>
      <c r="IB58" s="29"/>
      <c r="IC58" s="29"/>
      <c r="ID58" s="29"/>
      <c r="IE58" s="29"/>
      <c r="IF58" s="29"/>
      <c r="IG58" s="29"/>
      <c r="IH58" s="29"/>
      <c r="II58" s="29"/>
      <c r="IJ58" s="29"/>
      <c r="IK58" s="29"/>
      <c r="IL58" s="29"/>
      <c r="IM58" s="29"/>
      <c r="IN58" s="29"/>
      <c r="IO58" s="29"/>
      <c r="IP58" s="29"/>
      <c r="IQ58" s="29"/>
      <c r="IR58" s="29"/>
    </row>
    <row r="59" spans="1:252" ht="15" x14ac:dyDescent="0.55000000000000004">
      <c r="A59" s="1"/>
      <c r="C59" s="1"/>
      <c r="D59" s="25"/>
      <c r="E59" s="25"/>
      <c r="F59" s="25"/>
      <c r="G59" s="25"/>
      <c r="H59" s="25"/>
      <c r="I59" s="1"/>
      <c r="J59" s="1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29"/>
      <c r="FL59" s="2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29"/>
      <c r="GF59" s="2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29"/>
      <c r="HH59" s="29"/>
      <c r="HI59" s="29"/>
      <c r="HJ59" s="29"/>
      <c r="HK59" s="29"/>
      <c r="HL59" s="29"/>
      <c r="HM59" s="29"/>
      <c r="HN59" s="29"/>
      <c r="HO59" s="29"/>
      <c r="HP59" s="29"/>
      <c r="HQ59" s="29"/>
      <c r="HR59" s="29"/>
      <c r="HS59" s="29"/>
      <c r="HT59" s="29"/>
      <c r="HU59" s="29"/>
      <c r="HV59" s="29"/>
      <c r="HW59" s="29"/>
      <c r="HX59" s="29"/>
      <c r="HY59" s="29"/>
      <c r="HZ59" s="29"/>
      <c r="IA59" s="29"/>
      <c r="IB59" s="29"/>
      <c r="IC59" s="29"/>
      <c r="ID59" s="29"/>
      <c r="IE59" s="29"/>
      <c r="IF59" s="29"/>
      <c r="IG59" s="29"/>
      <c r="IH59" s="29"/>
      <c r="II59" s="29"/>
      <c r="IJ59" s="29"/>
      <c r="IK59" s="29"/>
      <c r="IL59" s="29"/>
      <c r="IM59" s="29"/>
      <c r="IN59" s="29"/>
      <c r="IO59" s="29"/>
      <c r="IP59" s="29"/>
      <c r="IQ59" s="29"/>
      <c r="IR59" s="29"/>
    </row>
    <row r="60" spans="1:252" s="30" customFormat="1" ht="14.25" x14ac:dyDescent="0.45">
      <c r="A60" s="24"/>
      <c r="B60" s="24"/>
      <c r="C60" s="1"/>
      <c r="D60" s="25"/>
      <c r="E60" s="25"/>
      <c r="F60" s="25"/>
      <c r="G60" s="25"/>
      <c r="H60" s="25"/>
      <c r="I60" s="24"/>
      <c r="J60" s="24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</row>
    <row r="61" spans="1:252" ht="15" x14ac:dyDescent="0.55000000000000004">
      <c r="A61" s="1"/>
      <c r="C61" s="1"/>
      <c r="D61" s="25"/>
      <c r="E61" s="25"/>
      <c r="F61" s="25"/>
      <c r="G61" s="25"/>
      <c r="H61" s="25"/>
      <c r="I61" s="1"/>
      <c r="J61" s="1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  <c r="DS61" s="29"/>
      <c r="DT61" s="29"/>
      <c r="DU61" s="29"/>
      <c r="DV61" s="29"/>
      <c r="DW61" s="29"/>
      <c r="DX61" s="29"/>
      <c r="DY61" s="29"/>
      <c r="DZ61" s="29"/>
      <c r="EA61" s="29"/>
      <c r="EB61" s="29"/>
      <c r="EC61" s="29"/>
      <c r="ED61" s="29"/>
      <c r="EE61" s="29"/>
      <c r="EF61" s="29"/>
      <c r="EG61" s="29"/>
      <c r="EH61" s="29"/>
      <c r="EI61" s="29"/>
      <c r="EJ61" s="29"/>
      <c r="EK61" s="29"/>
      <c r="EL61" s="29"/>
      <c r="EM61" s="29"/>
      <c r="EN61" s="29"/>
      <c r="EO61" s="29"/>
      <c r="EP61" s="29"/>
      <c r="EQ61" s="29"/>
      <c r="ER61" s="29"/>
      <c r="ES61" s="29"/>
      <c r="ET61" s="29"/>
      <c r="EU61" s="29"/>
      <c r="EV61" s="29"/>
      <c r="EW61" s="29"/>
      <c r="EX61" s="29"/>
      <c r="EY61" s="29"/>
      <c r="EZ61" s="29"/>
      <c r="FA61" s="29"/>
      <c r="FB61" s="29"/>
      <c r="FC61" s="29"/>
      <c r="FD61" s="29"/>
      <c r="FE61" s="29"/>
      <c r="FF61" s="29"/>
      <c r="FG61" s="29"/>
      <c r="FH61" s="29"/>
      <c r="FI61" s="29"/>
      <c r="FJ61" s="29"/>
      <c r="FK61" s="29"/>
      <c r="FL61" s="29"/>
      <c r="FM61" s="29"/>
      <c r="FN61" s="29"/>
      <c r="FO61" s="29"/>
      <c r="FP61" s="29"/>
      <c r="FQ61" s="29"/>
      <c r="FR61" s="29"/>
      <c r="FS61" s="29"/>
      <c r="FT61" s="29"/>
      <c r="FU61" s="29"/>
      <c r="FV61" s="29"/>
      <c r="FW61" s="29"/>
      <c r="FX61" s="29"/>
      <c r="FY61" s="29"/>
      <c r="FZ61" s="29"/>
      <c r="GA61" s="29"/>
      <c r="GB61" s="29"/>
      <c r="GC61" s="29"/>
      <c r="GD61" s="29"/>
      <c r="GE61" s="29"/>
      <c r="GF61" s="29"/>
      <c r="GG61" s="29"/>
      <c r="GH61" s="29"/>
      <c r="GI61" s="29"/>
      <c r="GJ61" s="29"/>
      <c r="GK61" s="29"/>
      <c r="GL61" s="29"/>
      <c r="GM61" s="29"/>
      <c r="GN61" s="29"/>
      <c r="GO61" s="29"/>
      <c r="GP61" s="29"/>
      <c r="GQ61" s="29"/>
      <c r="GR61" s="29"/>
      <c r="GS61" s="29"/>
      <c r="GT61" s="29"/>
      <c r="GU61" s="29"/>
      <c r="GV61" s="29"/>
      <c r="GW61" s="29"/>
      <c r="GX61" s="29"/>
      <c r="GY61" s="29"/>
      <c r="GZ61" s="29"/>
      <c r="HA61" s="29"/>
      <c r="HB61" s="29"/>
      <c r="HC61" s="29"/>
      <c r="HD61" s="29"/>
      <c r="HE61" s="29"/>
      <c r="HF61" s="29"/>
      <c r="HG61" s="29"/>
      <c r="HH61" s="29"/>
      <c r="HI61" s="29"/>
      <c r="HJ61" s="29"/>
      <c r="HK61" s="29"/>
      <c r="HL61" s="29"/>
      <c r="HM61" s="29"/>
      <c r="HN61" s="29"/>
      <c r="HO61" s="29"/>
      <c r="HP61" s="29"/>
      <c r="HQ61" s="29"/>
      <c r="HR61" s="29"/>
      <c r="HS61" s="29"/>
      <c r="HT61" s="29"/>
      <c r="HU61" s="29"/>
      <c r="HV61" s="29"/>
      <c r="HW61" s="29"/>
      <c r="HX61" s="29"/>
      <c r="HY61" s="29"/>
      <c r="HZ61" s="29"/>
      <c r="IA61" s="29"/>
      <c r="IB61" s="29"/>
      <c r="IC61" s="29"/>
      <c r="ID61" s="29"/>
      <c r="IE61" s="29"/>
      <c r="IF61" s="29"/>
      <c r="IG61" s="29"/>
      <c r="IH61" s="29"/>
      <c r="II61" s="29"/>
      <c r="IJ61" s="29"/>
      <c r="IK61" s="29"/>
      <c r="IL61" s="29"/>
      <c r="IM61" s="29"/>
      <c r="IN61" s="29"/>
      <c r="IO61" s="29"/>
      <c r="IP61" s="29"/>
      <c r="IQ61" s="29"/>
      <c r="IR61" s="29"/>
    </row>
    <row r="62" spans="1:252" ht="15" x14ac:dyDescent="0.55000000000000004">
      <c r="A62" s="1"/>
      <c r="C62" s="1"/>
      <c r="D62" s="25"/>
      <c r="E62" s="25"/>
      <c r="F62" s="25"/>
      <c r="G62" s="25"/>
      <c r="H62" s="25"/>
      <c r="I62" s="1"/>
      <c r="J62" s="1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29"/>
      <c r="ER62" s="2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29"/>
      <c r="FL62" s="2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29"/>
      <c r="GF62" s="2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29"/>
      <c r="GZ62" s="29"/>
      <c r="HA62" s="29"/>
      <c r="HB62" s="29"/>
      <c r="HC62" s="29"/>
      <c r="HD62" s="29"/>
      <c r="HE62" s="29"/>
      <c r="HF62" s="29"/>
      <c r="HG62" s="29"/>
      <c r="HH62" s="29"/>
      <c r="HI62" s="29"/>
      <c r="HJ62" s="29"/>
      <c r="HK62" s="29"/>
      <c r="HL62" s="29"/>
      <c r="HM62" s="29"/>
      <c r="HN62" s="29"/>
      <c r="HO62" s="29"/>
      <c r="HP62" s="29"/>
      <c r="HQ62" s="29"/>
      <c r="HR62" s="29"/>
      <c r="HS62" s="29"/>
      <c r="HT62" s="29"/>
      <c r="HU62" s="29"/>
      <c r="HV62" s="29"/>
      <c r="HW62" s="29"/>
      <c r="HX62" s="29"/>
      <c r="HY62" s="29"/>
      <c r="HZ62" s="29"/>
      <c r="IA62" s="29"/>
      <c r="IB62" s="29"/>
      <c r="IC62" s="29"/>
      <c r="ID62" s="29"/>
      <c r="IE62" s="29"/>
      <c r="IF62" s="29"/>
      <c r="IG62" s="29"/>
      <c r="IH62" s="29"/>
      <c r="II62" s="29"/>
      <c r="IJ62" s="29"/>
      <c r="IK62" s="29"/>
      <c r="IL62" s="29"/>
      <c r="IM62" s="29"/>
      <c r="IN62" s="29"/>
      <c r="IO62" s="29"/>
      <c r="IP62" s="29"/>
      <c r="IQ62" s="29"/>
      <c r="IR62" s="29"/>
    </row>
    <row r="63" spans="1:252" s="30" customFormat="1" ht="14.25" x14ac:dyDescent="0.45">
      <c r="A63" s="24"/>
      <c r="B63" s="24"/>
      <c r="C63" s="1"/>
      <c r="D63" s="25"/>
      <c r="E63" s="25"/>
      <c r="F63" s="25"/>
      <c r="G63" s="25"/>
      <c r="H63" s="25"/>
      <c r="I63" s="24"/>
      <c r="J63" s="24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</row>
    <row r="64" spans="1:252" ht="15" x14ac:dyDescent="0.55000000000000004">
      <c r="A64" s="1"/>
      <c r="C64" s="1"/>
      <c r="D64" s="25"/>
      <c r="E64" s="25"/>
      <c r="F64" s="25"/>
      <c r="G64" s="25"/>
      <c r="H64" s="25"/>
      <c r="I64" s="1"/>
      <c r="J64" s="1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  <c r="DO64" s="29"/>
      <c r="DP64" s="29"/>
      <c r="DQ64" s="29"/>
      <c r="DR64" s="29"/>
      <c r="DS64" s="29"/>
      <c r="DT64" s="29"/>
      <c r="DU64" s="29"/>
      <c r="DV64" s="29"/>
      <c r="DW64" s="29"/>
      <c r="DX64" s="29"/>
      <c r="DY64" s="29"/>
      <c r="DZ64" s="29"/>
      <c r="EA64" s="29"/>
      <c r="EB64" s="29"/>
      <c r="EC64" s="29"/>
      <c r="ED64" s="29"/>
      <c r="EE64" s="29"/>
      <c r="EF64" s="29"/>
      <c r="EG64" s="29"/>
      <c r="EH64" s="29"/>
      <c r="EI64" s="29"/>
      <c r="EJ64" s="29"/>
      <c r="EK64" s="29"/>
      <c r="EL64" s="29"/>
      <c r="EM64" s="29"/>
      <c r="EN64" s="29"/>
      <c r="EO64" s="29"/>
      <c r="EP64" s="29"/>
      <c r="EQ64" s="29"/>
      <c r="ER64" s="29"/>
      <c r="ES64" s="29"/>
      <c r="ET64" s="29"/>
      <c r="EU64" s="29"/>
      <c r="EV64" s="29"/>
      <c r="EW64" s="29"/>
      <c r="EX64" s="29"/>
      <c r="EY64" s="29"/>
      <c r="EZ64" s="29"/>
      <c r="FA64" s="29"/>
      <c r="FB64" s="29"/>
      <c r="FC64" s="29"/>
      <c r="FD64" s="29"/>
      <c r="FE64" s="29"/>
      <c r="FF64" s="29"/>
      <c r="FG64" s="29"/>
      <c r="FH64" s="29"/>
      <c r="FI64" s="29"/>
      <c r="FJ64" s="29"/>
      <c r="FK64" s="29"/>
      <c r="FL64" s="29"/>
      <c r="FM64" s="29"/>
      <c r="FN64" s="29"/>
      <c r="FO64" s="29"/>
      <c r="FP64" s="29"/>
      <c r="FQ64" s="29"/>
      <c r="FR64" s="29"/>
      <c r="FS64" s="29"/>
      <c r="FT64" s="29"/>
      <c r="FU64" s="29"/>
      <c r="FV64" s="29"/>
      <c r="FW64" s="29"/>
      <c r="FX64" s="29"/>
      <c r="FY64" s="29"/>
      <c r="FZ64" s="29"/>
      <c r="GA64" s="29"/>
      <c r="GB64" s="29"/>
      <c r="GC64" s="29"/>
      <c r="GD64" s="29"/>
      <c r="GE64" s="29"/>
      <c r="GF64" s="29"/>
      <c r="GG64" s="29"/>
      <c r="GH64" s="29"/>
      <c r="GI64" s="29"/>
      <c r="GJ64" s="29"/>
      <c r="GK64" s="29"/>
      <c r="GL64" s="29"/>
      <c r="GM64" s="29"/>
      <c r="GN64" s="29"/>
      <c r="GO64" s="29"/>
      <c r="GP64" s="29"/>
      <c r="GQ64" s="29"/>
      <c r="GR64" s="29"/>
      <c r="GS64" s="29"/>
      <c r="GT64" s="29"/>
      <c r="GU64" s="29"/>
      <c r="GV64" s="29"/>
      <c r="GW64" s="29"/>
      <c r="GX64" s="29"/>
      <c r="GY64" s="29"/>
      <c r="GZ64" s="29"/>
      <c r="HA64" s="29"/>
      <c r="HB64" s="29"/>
      <c r="HC64" s="29"/>
      <c r="HD64" s="29"/>
      <c r="HE64" s="29"/>
      <c r="HF64" s="29"/>
      <c r="HG64" s="29"/>
      <c r="HH64" s="29"/>
      <c r="HI64" s="29"/>
      <c r="HJ64" s="29"/>
      <c r="HK64" s="29"/>
      <c r="HL64" s="29"/>
      <c r="HM64" s="29"/>
      <c r="HN64" s="29"/>
      <c r="HO64" s="29"/>
      <c r="HP64" s="29"/>
      <c r="HQ64" s="29"/>
      <c r="HR64" s="29"/>
      <c r="HS64" s="29"/>
      <c r="HT64" s="29"/>
      <c r="HU64" s="29"/>
      <c r="HV64" s="29"/>
      <c r="HW64" s="29"/>
      <c r="HX64" s="29"/>
      <c r="HY64" s="29"/>
      <c r="HZ64" s="29"/>
      <c r="IA64" s="29"/>
      <c r="IB64" s="29"/>
      <c r="IC64" s="29"/>
      <c r="ID64" s="29"/>
      <c r="IE64" s="29"/>
      <c r="IF64" s="29"/>
      <c r="IG64" s="29"/>
      <c r="IH64" s="29"/>
      <c r="II64" s="29"/>
      <c r="IJ64" s="29"/>
      <c r="IK64" s="29"/>
      <c r="IL64" s="29"/>
      <c r="IM64" s="29"/>
      <c r="IN64" s="29"/>
      <c r="IO64" s="29"/>
      <c r="IP64" s="29"/>
      <c r="IQ64" s="29"/>
      <c r="IR64" s="29"/>
    </row>
    <row r="65" spans="2:8" ht="14.25" x14ac:dyDescent="0.45">
      <c r="B65" s="28"/>
      <c r="C65" s="27"/>
      <c r="D65" s="26"/>
      <c r="E65" s="26"/>
      <c r="F65" s="26"/>
      <c r="G65" s="26"/>
      <c r="H65" s="26"/>
    </row>
    <row r="66" spans="2:8" ht="14.25" x14ac:dyDescent="0.45">
      <c r="C66" s="1"/>
      <c r="D66" s="25"/>
      <c r="E66" s="25"/>
      <c r="F66" s="25"/>
      <c r="G66" s="25"/>
      <c r="H66" s="25"/>
    </row>
    <row r="67" spans="2:8" ht="14.25" x14ac:dyDescent="0.45">
      <c r="C67" s="1"/>
      <c r="D67" s="25"/>
      <c r="E67" s="25"/>
      <c r="F67" s="25"/>
      <c r="G67" s="25"/>
      <c r="H67" s="25"/>
    </row>
    <row r="68" spans="2:8" ht="14.25" x14ac:dyDescent="0.45">
      <c r="B68" s="28"/>
      <c r="C68" s="27"/>
      <c r="D68" s="26"/>
      <c r="E68" s="26"/>
      <c r="F68" s="26"/>
      <c r="G68" s="26"/>
      <c r="H68" s="26"/>
    </row>
    <row r="69" spans="2:8" ht="14.25" x14ac:dyDescent="0.45">
      <c r="C69" s="1"/>
      <c r="D69" s="25"/>
      <c r="E69" s="25"/>
      <c r="F69" s="25"/>
      <c r="G69" s="25"/>
      <c r="H69" s="25"/>
    </row>
    <row r="70" spans="2:8" ht="14.25" x14ac:dyDescent="0.45">
      <c r="C70" s="1"/>
      <c r="D70" s="25"/>
      <c r="E70" s="25"/>
      <c r="F70" s="25"/>
      <c r="G70" s="25"/>
      <c r="H70" s="2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A47B-91B1-4D90-893C-32CE21B2F9A6}">
  <dimension ref="A1:IR69"/>
  <sheetViews>
    <sheetView tabSelected="1" workbookViewId="0">
      <selection activeCell="C33" sqref="C33"/>
    </sheetView>
  </sheetViews>
  <sheetFormatPr defaultRowHeight="14.25" x14ac:dyDescent="0.4"/>
  <cols>
    <col min="1" max="1" width="9.06640625" style="39"/>
    <col min="2" max="2" width="49.73046875" style="39" customWidth="1"/>
    <col min="3" max="3" width="4.73046875" style="39" customWidth="1"/>
    <col min="4" max="4" width="16.73046875" style="39" customWidth="1"/>
    <col min="5" max="5" width="15.73046875" style="39" customWidth="1"/>
    <col min="6" max="6" width="14.73046875" style="39" customWidth="1"/>
    <col min="7" max="7" width="16.73046875" style="39" customWidth="1"/>
    <col min="8" max="9" width="15.73046875" style="39" customWidth="1"/>
    <col min="10" max="11" width="16.73046875" style="39" customWidth="1"/>
    <col min="12" max="13" width="15.73046875" style="39" customWidth="1"/>
    <col min="14" max="14" width="16.73046875" style="39" customWidth="1"/>
    <col min="15" max="15" width="15.73046875" style="39" customWidth="1"/>
    <col min="16" max="16" width="16.73046875" style="39" customWidth="1"/>
    <col min="17" max="18" width="15.73046875" style="39" customWidth="1"/>
    <col min="19" max="19" width="16.73046875" style="39" customWidth="1"/>
    <col min="20" max="21" width="15.73046875" style="39" customWidth="1"/>
    <col min="22" max="23" width="16.73046875" style="39" customWidth="1"/>
    <col min="24" max="25" width="15.73046875" style="39" customWidth="1"/>
    <col min="26" max="26" width="16.73046875" style="39" customWidth="1"/>
    <col min="27" max="27" width="15.73046875" style="39" customWidth="1"/>
    <col min="28" max="28" width="16.73046875" style="39" customWidth="1"/>
    <col min="29" max="30" width="15.73046875" style="39" customWidth="1"/>
    <col min="31" max="31" width="16.73046875" style="39" customWidth="1"/>
    <col min="32" max="33" width="15.73046875" style="39" customWidth="1"/>
    <col min="34" max="35" width="16.73046875" style="39" customWidth="1"/>
    <col min="36" max="37" width="15.73046875" style="39" customWidth="1"/>
    <col min="38" max="38" width="16.73046875" style="39" customWidth="1"/>
    <col min="39" max="39" width="15.73046875" style="39" customWidth="1"/>
    <col min="40" max="40" width="16.73046875" style="39" customWidth="1"/>
    <col min="41" max="41" width="15.73046875" style="39" customWidth="1"/>
    <col min="42" max="59" width="17.73046875" style="39" customWidth="1"/>
    <col min="60" max="63" width="19.73046875" style="39" customWidth="1"/>
    <col min="64" max="251" width="9.06640625" style="39"/>
    <col min="252" max="16384" width="9.06640625" style="38"/>
  </cols>
  <sheetData>
    <row r="1" spans="1:252" x14ac:dyDescent="0.45">
      <c r="A1" s="44"/>
      <c r="B1" s="44"/>
      <c r="C1" s="1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44"/>
      <c r="EA1" s="44"/>
      <c r="EB1" s="44"/>
      <c r="EC1" s="44"/>
      <c r="ED1" s="44"/>
      <c r="EE1" s="44"/>
      <c r="EF1" s="44"/>
      <c r="EG1" s="44"/>
      <c r="EH1" s="44"/>
      <c r="EI1" s="44"/>
      <c r="EJ1" s="44"/>
      <c r="EK1" s="44"/>
      <c r="EL1" s="44"/>
      <c r="EM1" s="44"/>
      <c r="EN1" s="44"/>
      <c r="EO1" s="44"/>
      <c r="EP1" s="44"/>
      <c r="EQ1" s="44"/>
      <c r="ER1" s="44"/>
      <c r="ES1" s="44"/>
      <c r="ET1" s="44"/>
      <c r="EU1" s="44"/>
      <c r="EV1" s="44"/>
      <c r="EW1" s="44"/>
      <c r="EX1" s="44"/>
      <c r="EY1" s="44"/>
      <c r="EZ1" s="44"/>
      <c r="FA1" s="44"/>
      <c r="FB1" s="44"/>
      <c r="FC1" s="44"/>
      <c r="FD1" s="44"/>
      <c r="FE1" s="44"/>
      <c r="FF1" s="44"/>
      <c r="FG1" s="44"/>
      <c r="FH1" s="44"/>
      <c r="FI1" s="44"/>
      <c r="FJ1" s="44"/>
      <c r="FK1" s="44"/>
      <c r="FL1" s="44"/>
      <c r="FM1" s="44"/>
      <c r="FN1" s="44"/>
      <c r="FO1" s="44"/>
      <c r="FP1" s="44"/>
      <c r="FQ1" s="44"/>
      <c r="FR1" s="44"/>
      <c r="FS1" s="44"/>
      <c r="FT1" s="44"/>
      <c r="FU1" s="44"/>
      <c r="FV1" s="44"/>
      <c r="FW1" s="44"/>
      <c r="FX1" s="44"/>
      <c r="FY1" s="44"/>
      <c r="FZ1" s="44"/>
      <c r="GA1" s="44"/>
      <c r="GB1" s="44"/>
      <c r="GC1" s="44"/>
      <c r="GD1" s="44"/>
      <c r="GE1" s="44"/>
      <c r="GF1" s="44"/>
      <c r="GG1" s="44"/>
      <c r="GH1" s="44"/>
      <c r="GI1" s="44"/>
      <c r="GJ1" s="44"/>
      <c r="GK1" s="44"/>
      <c r="GL1" s="44"/>
      <c r="GM1" s="44"/>
      <c r="GN1" s="44"/>
      <c r="GO1" s="44"/>
      <c r="GP1" s="44"/>
      <c r="GQ1" s="44"/>
      <c r="GR1" s="44"/>
      <c r="GS1" s="44"/>
      <c r="GT1" s="44"/>
      <c r="GU1" s="44"/>
      <c r="GV1" s="44"/>
      <c r="GW1" s="44"/>
      <c r="GX1" s="44"/>
      <c r="GY1" s="44"/>
      <c r="GZ1" s="44"/>
      <c r="HA1" s="44"/>
      <c r="HB1" s="44"/>
      <c r="HC1" s="44"/>
      <c r="HD1" s="44"/>
      <c r="HE1" s="44"/>
      <c r="HF1" s="44"/>
      <c r="HG1" s="44"/>
      <c r="HH1" s="44"/>
      <c r="HI1" s="44"/>
      <c r="HJ1" s="44"/>
      <c r="HK1" s="44"/>
      <c r="HL1" s="44"/>
      <c r="HM1" s="44"/>
      <c r="HN1" s="44"/>
      <c r="HO1" s="44"/>
      <c r="HP1" s="44"/>
      <c r="HQ1" s="44"/>
      <c r="HR1" s="44"/>
      <c r="HS1" s="44"/>
      <c r="HT1" s="44"/>
      <c r="HU1" s="44"/>
      <c r="HV1" s="44"/>
      <c r="HW1" s="44"/>
      <c r="HX1" s="44"/>
      <c r="HY1" s="44"/>
      <c r="HZ1" s="44"/>
      <c r="IA1" s="44"/>
      <c r="IB1" s="44"/>
      <c r="IC1" s="44"/>
      <c r="ID1" s="44"/>
      <c r="IE1" s="44"/>
      <c r="IF1" s="44"/>
      <c r="IG1" s="44"/>
      <c r="IH1" s="44"/>
      <c r="II1" s="44"/>
      <c r="IJ1" s="44"/>
      <c r="IK1" s="44"/>
      <c r="IL1" s="44"/>
      <c r="IM1" s="44"/>
      <c r="IN1" s="44"/>
      <c r="IO1" s="44"/>
      <c r="IP1" s="44"/>
      <c r="IQ1" s="44"/>
      <c r="IR1" s="44"/>
    </row>
    <row r="2" spans="1:252" s="48" customFormat="1" x14ac:dyDescent="0.45">
      <c r="A2" s="46"/>
      <c r="B2" s="46"/>
      <c r="C2" s="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6"/>
      <c r="ED2" s="46"/>
      <c r="EE2" s="46"/>
      <c r="EF2" s="46"/>
      <c r="EG2" s="46"/>
      <c r="EH2" s="46"/>
      <c r="EI2" s="46"/>
      <c r="EJ2" s="46"/>
      <c r="EK2" s="46"/>
      <c r="EL2" s="46"/>
      <c r="EM2" s="46"/>
      <c r="EN2" s="46"/>
      <c r="EO2" s="46"/>
      <c r="EP2" s="46"/>
      <c r="EQ2" s="46"/>
      <c r="ER2" s="46"/>
      <c r="ES2" s="46"/>
      <c r="ET2" s="46"/>
      <c r="EU2" s="46"/>
      <c r="EV2" s="46"/>
      <c r="EW2" s="46"/>
      <c r="EX2" s="46"/>
      <c r="EY2" s="46"/>
      <c r="EZ2" s="46"/>
      <c r="FA2" s="46"/>
      <c r="FB2" s="46"/>
      <c r="FC2" s="46"/>
      <c r="FD2" s="46"/>
      <c r="FE2" s="46"/>
      <c r="FF2" s="46"/>
      <c r="FG2" s="46"/>
      <c r="FH2" s="46"/>
      <c r="FI2" s="46"/>
      <c r="FJ2" s="46"/>
      <c r="FK2" s="46"/>
      <c r="FL2" s="46"/>
      <c r="FM2" s="46"/>
      <c r="FN2" s="46"/>
      <c r="FO2" s="46"/>
      <c r="FP2" s="46"/>
      <c r="FQ2" s="46"/>
      <c r="FR2" s="46"/>
      <c r="FS2" s="46"/>
      <c r="FT2" s="46"/>
      <c r="FU2" s="46"/>
      <c r="FV2" s="46"/>
      <c r="FW2" s="46"/>
      <c r="FX2" s="46"/>
      <c r="FY2" s="46"/>
      <c r="FZ2" s="46"/>
      <c r="GA2" s="46"/>
      <c r="GB2" s="46"/>
      <c r="GC2" s="46"/>
      <c r="GD2" s="46"/>
      <c r="GE2" s="46"/>
      <c r="GF2" s="46"/>
      <c r="GG2" s="46"/>
      <c r="GH2" s="46"/>
      <c r="GI2" s="46"/>
      <c r="GJ2" s="46"/>
      <c r="GK2" s="46"/>
      <c r="GL2" s="46"/>
      <c r="GM2" s="46"/>
      <c r="GN2" s="46"/>
      <c r="GO2" s="46"/>
      <c r="GP2" s="46"/>
      <c r="GQ2" s="46"/>
      <c r="GR2" s="46"/>
      <c r="GS2" s="46"/>
      <c r="GT2" s="46"/>
      <c r="GU2" s="46"/>
      <c r="GV2" s="46"/>
      <c r="GW2" s="46"/>
      <c r="GX2" s="46"/>
      <c r="GY2" s="46"/>
      <c r="GZ2" s="46"/>
      <c r="HA2" s="46"/>
      <c r="HB2" s="46"/>
      <c r="HC2" s="46"/>
      <c r="HD2" s="46"/>
      <c r="HE2" s="46"/>
      <c r="HF2" s="46"/>
      <c r="HG2" s="46"/>
      <c r="HH2" s="46"/>
      <c r="HI2" s="46"/>
      <c r="HJ2" s="46"/>
      <c r="HK2" s="46"/>
      <c r="HL2" s="46"/>
      <c r="HM2" s="46"/>
      <c r="HN2" s="46"/>
      <c r="HO2" s="46"/>
      <c r="HP2" s="46"/>
      <c r="HQ2" s="46"/>
      <c r="HR2" s="46"/>
      <c r="HS2" s="46"/>
      <c r="HT2" s="46"/>
      <c r="HU2" s="46"/>
      <c r="HV2" s="46"/>
      <c r="HW2" s="46"/>
      <c r="HX2" s="46"/>
      <c r="HY2" s="46"/>
      <c r="HZ2" s="46"/>
      <c r="IA2" s="46"/>
      <c r="IB2" s="46"/>
      <c r="IC2" s="46"/>
      <c r="ID2" s="46"/>
      <c r="IE2" s="46"/>
      <c r="IF2" s="46"/>
      <c r="IG2" s="46"/>
      <c r="IH2" s="46"/>
      <c r="II2" s="46"/>
      <c r="IJ2" s="46"/>
      <c r="IK2" s="46"/>
      <c r="IL2" s="46"/>
      <c r="IM2" s="46"/>
      <c r="IN2" s="46"/>
      <c r="IO2" s="46"/>
      <c r="IP2" s="46"/>
      <c r="IQ2" s="46"/>
      <c r="IR2" s="46"/>
    </row>
    <row r="3" spans="1:252" x14ac:dyDescent="0.45">
      <c r="A3" s="44"/>
      <c r="B3" s="44"/>
      <c r="C3" s="1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44"/>
      <c r="CY3" s="44"/>
      <c r="CZ3" s="44"/>
      <c r="DA3" s="44"/>
      <c r="DB3" s="44"/>
      <c r="DC3" s="44"/>
      <c r="DD3" s="44"/>
      <c r="DE3" s="44"/>
      <c r="DF3" s="44"/>
      <c r="DG3" s="44"/>
      <c r="DH3" s="44"/>
      <c r="DI3" s="44"/>
      <c r="DJ3" s="44"/>
      <c r="DK3" s="44"/>
      <c r="DL3" s="44"/>
      <c r="DM3" s="44"/>
      <c r="DN3" s="44"/>
      <c r="DO3" s="44"/>
      <c r="DP3" s="44"/>
      <c r="DQ3" s="44"/>
      <c r="DR3" s="44"/>
      <c r="DS3" s="44"/>
      <c r="DT3" s="44"/>
      <c r="DU3" s="44"/>
      <c r="DV3" s="44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44"/>
      <c r="FG3" s="44"/>
      <c r="FH3" s="44"/>
      <c r="FI3" s="44"/>
      <c r="FJ3" s="44"/>
      <c r="FK3" s="44"/>
      <c r="FL3" s="44"/>
      <c r="FM3" s="44"/>
      <c r="FN3" s="44"/>
      <c r="FO3" s="44"/>
      <c r="FP3" s="44"/>
      <c r="FQ3" s="44"/>
      <c r="FR3" s="44"/>
      <c r="FS3" s="44"/>
      <c r="FT3" s="44"/>
      <c r="FU3" s="44"/>
      <c r="FV3" s="44"/>
      <c r="FW3" s="44"/>
      <c r="FX3" s="44"/>
      <c r="FY3" s="44"/>
      <c r="FZ3" s="44"/>
      <c r="GA3" s="44"/>
      <c r="GB3" s="44"/>
      <c r="GC3" s="44"/>
      <c r="GD3" s="44"/>
      <c r="GE3" s="44"/>
      <c r="GF3" s="44"/>
      <c r="GG3" s="44"/>
      <c r="GH3" s="44"/>
      <c r="GI3" s="44"/>
      <c r="GJ3" s="44"/>
      <c r="GK3" s="44"/>
      <c r="GL3" s="44"/>
      <c r="GM3" s="44"/>
      <c r="GN3" s="44"/>
      <c r="GO3" s="44"/>
      <c r="GP3" s="44"/>
      <c r="GQ3" s="44"/>
      <c r="GR3" s="44"/>
      <c r="GS3" s="44"/>
      <c r="GT3" s="44"/>
      <c r="GU3" s="44"/>
      <c r="GV3" s="44"/>
      <c r="GW3" s="44"/>
      <c r="GX3" s="44"/>
      <c r="GY3" s="44"/>
      <c r="GZ3" s="44"/>
      <c r="HA3" s="44"/>
      <c r="HB3" s="44"/>
      <c r="HC3" s="44"/>
      <c r="HD3" s="44"/>
      <c r="HE3" s="44"/>
      <c r="HF3" s="44"/>
      <c r="HG3" s="44"/>
      <c r="HH3" s="44"/>
      <c r="HI3" s="44"/>
      <c r="HJ3" s="44"/>
      <c r="HK3" s="44"/>
      <c r="HL3" s="44"/>
      <c r="HM3" s="44"/>
      <c r="HN3" s="44"/>
      <c r="HO3" s="44"/>
      <c r="HP3" s="44"/>
      <c r="HQ3" s="44"/>
      <c r="HR3" s="44"/>
      <c r="HS3" s="44"/>
      <c r="HT3" s="44"/>
      <c r="HU3" s="44"/>
      <c r="HV3" s="44"/>
      <c r="HW3" s="44"/>
      <c r="HX3" s="44"/>
      <c r="HY3" s="44"/>
      <c r="HZ3" s="44"/>
      <c r="IA3" s="44"/>
      <c r="IB3" s="44"/>
      <c r="IC3" s="44"/>
      <c r="ID3" s="44"/>
      <c r="IE3" s="44"/>
      <c r="IF3" s="44"/>
      <c r="IG3" s="44"/>
      <c r="IH3" s="44"/>
      <c r="II3" s="44"/>
      <c r="IJ3" s="44"/>
      <c r="IK3" s="44"/>
      <c r="IL3" s="44"/>
      <c r="IM3" s="44"/>
      <c r="IN3" s="44"/>
      <c r="IO3" s="44"/>
      <c r="IP3" s="44"/>
      <c r="IQ3" s="44"/>
      <c r="IR3" s="44"/>
    </row>
    <row r="4" spans="1:252" x14ac:dyDescent="0.45">
      <c r="C4" s="1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IR4" s="39"/>
    </row>
    <row r="5" spans="1:252" x14ac:dyDescent="0.45">
      <c r="C5" s="1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IR5" s="39"/>
    </row>
    <row r="6" spans="1:252" x14ac:dyDescent="0.45">
      <c r="C6" s="1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IR6" s="39"/>
    </row>
    <row r="7" spans="1:252" s="43" customFormat="1" x14ac:dyDescent="0.45">
      <c r="A7" s="39"/>
      <c r="B7" s="42"/>
      <c r="C7" s="27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39"/>
      <c r="BM7" s="39"/>
      <c r="BN7" s="39"/>
      <c r="BO7" s="39"/>
      <c r="BP7" s="39"/>
      <c r="BQ7" s="39"/>
      <c r="BR7" s="39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</row>
    <row r="8" spans="1:252" x14ac:dyDescent="0.45">
      <c r="A8" s="44"/>
      <c r="C8" s="1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4"/>
      <c r="DJ8" s="44"/>
      <c r="DK8" s="44"/>
      <c r="DL8" s="44"/>
      <c r="DM8" s="44"/>
      <c r="DN8" s="44"/>
      <c r="DO8" s="44"/>
      <c r="DP8" s="44"/>
      <c r="DQ8" s="44"/>
      <c r="DR8" s="44"/>
      <c r="DS8" s="44"/>
      <c r="DT8" s="44"/>
      <c r="DU8" s="44"/>
      <c r="DV8" s="44"/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44"/>
      <c r="EN8" s="44"/>
      <c r="EO8" s="44"/>
      <c r="EP8" s="44"/>
      <c r="EQ8" s="44"/>
      <c r="ER8" s="44"/>
      <c r="ES8" s="44"/>
      <c r="ET8" s="44"/>
      <c r="EU8" s="44"/>
      <c r="EV8" s="44"/>
      <c r="EW8" s="44"/>
      <c r="EX8" s="44"/>
      <c r="EY8" s="44"/>
      <c r="EZ8" s="44"/>
      <c r="FA8" s="44"/>
      <c r="FB8" s="44"/>
      <c r="FC8" s="44"/>
      <c r="FD8" s="44"/>
      <c r="FE8" s="44"/>
      <c r="FF8" s="44"/>
      <c r="FG8" s="44"/>
      <c r="FH8" s="44"/>
      <c r="FI8" s="44"/>
      <c r="FJ8" s="44"/>
      <c r="FK8" s="44"/>
      <c r="FL8" s="44"/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44"/>
      <c r="GD8" s="44"/>
      <c r="GE8" s="44"/>
      <c r="GF8" s="44"/>
      <c r="GG8" s="44"/>
      <c r="GH8" s="44"/>
      <c r="GI8" s="44"/>
      <c r="GJ8" s="44"/>
      <c r="GK8" s="44"/>
      <c r="GL8" s="44"/>
      <c r="GM8" s="44"/>
      <c r="GN8" s="44"/>
      <c r="GO8" s="44"/>
      <c r="GP8" s="44"/>
      <c r="GQ8" s="44"/>
      <c r="GR8" s="44"/>
      <c r="GS8" s="44"/>
      <c r="GT8" s="44"/>
      <c r="GU8" s="44"/>
      <c r="GV8" s="44"/>
      <c r="GW8" s="44"/>
      <c r="GX8" s="44"/>
      <c r="GY8" s="44"/>
      <c r="GZ8" s="44"/>
      <c r="HA8" s="44"/>
      <c r="HB8" s="44"/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44"/>
      <c r="HT8" s="44"/>
      <c r="HU8" s="44"/>
      <c r="HV8" s="44"/>
      <c r="HW8" s="44"/>
      <c r="HX8" s="44"/>
      <c r="HY8" s="44"/>
      <c r="HZ8" s="44"/>
      <c r="IA8" s="44"/>
      <c r="IB8" s="44"/>
      <c r="IC8" s="44"/>
      <c r="ID8" s="44"/>
      <c r="IE8" s="44"/>
      <c r="IF8" s="44"/>
      <c r="IG8" s="44"/>
      <c r="IH8" s="44"/>
      <c r="II8" s="44"/>
      <c r="IJ8" s="44"/>
      <c r="IK8" s="44"/>
      <c r="IL8" s="44"/>
      <c r="IM8" s="44"/>
      <c r="IN8" s="44"/>
      <c r="IO8" s="44"/>
      <c r="IP8" s="44"/>
      <c r="IQ8" s="44"/>
      <c r="IR8" s="44"/>
    </row>
    <row r="9" spans="1:252" x14ac:dyDescent="0.45">
      <c r="C9" s="1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IR9" s="39"/>
    </row>
    <row r="10" spans="1:252" s="43" customFormat="1" x14ac:dyDescent="0.45">
      <c r="A10" s="39"/>
      <c r="B10" s="42"/>
      <c r="C10" s="27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39"/>
      <c r="BM10" s="39"/>
      <c r="BN10" s="39"/>
      <c r="BO10" s="39"/>
      <c r="BP10" s="39"/>
      <c r="BQ10" s="39"/>
      <c r="BR10" s="39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42"/>
      <c r="FR10" s="42"/>
      <c r="FS10" s="42"/>
      <c r="FT10" s="42"/>
      <c r="FU10" s="42"/>
      <c r="FV10" s="42"/>
      <c r="FW10" s="42"/>
      <c r="FX10" s="42"/>
      <c r="FY10" s="42"/>
      <c r="FZ10" s="42"/>
      <c r="GA10" s="42"/>
      <c r="GB10" s="42"/>
      <c r="GC10" s="42"/>
      <c r="GD10" s="42"/>
      <c r="GE10" s="42"/>
      <c r="GF10" s="42"/>
      <c r="GG10" s="42"/>
      <c r="GH10" s="42"/>
      <c r="GI10" s="42"/>
      <c r="GJ10" s="42"/>
      <c r="GK10" s="42"/>
      <c r="GL10" s="42"/>
      <c r="GM10" s="42"/>
      <c r="GN10" s="42"/>
      <c r="GO10" s="42"/>
      <c r="GP10" s="42"/>
      <c r="GQ10" s="42"/>
      <c r="GR10" s="42"/>
      <c r="GS10" s="42"/>
      <c r="GT10" s="42"/>
      <c r="GU10" s="42"/>
      <c r="GV10" s="42"/>
      <c r="GW10" s="42"/>
      <c r="GX10" s="42"/>
      <c r="GY10" s="42"/>
      <c r="GZ10" s="42"/>
      <c r="HA10" s="42"/>
      <c r="HB10" s="42"/>
      <c r="HC10" s="42"/>
      <c r="HD10" s="42"/>
      <c r="HE10" s="42"/>
      <c r="HF10" s="42"/>
      <c r="HG10" s="42"/>
      <c r="HH10" s="42"/>
      <c r="HI10" s="42"/>
      <c r="HJ10" s="42"/>
      <c r="HK10" s="42"/>
      <c r="HL10" s="42"/>
      <c r="HM10" s="42"/>
      <c r="HN10" s="42"/>
      <c r="HO10" s="42"/>
      <c r="HP10" s="42"/>
      <c r="HQ10" s="42"/>
      <c r="HR10" s="42"/>
      <c r="HS10" s="42"/>
      <c r="HT10" s="42"/>
      <c r="HU10" s="42"/>
      <c r="HV10" s="42"/>
      <c r="HW10" s="42"/>
      <c r="HX10" s="42"/>
      <c r="HY10" s="42"/>
      <c r="HZ10" s="42"/>
      <c r="IA10" s="42"/>
      <c r="IB10" s="42"/>
      <c r="IC10" s="42"/>
      <c r="ID10" s="42"/>
      <c r="IE10" s="42"/>
      <c r="IF10" s="42"/>
      <c r="IG10" s="42"/>
      <c r="IH10" s="42"/>
      <c r="II10" s="42"/>
      <c r="IJ10" s="42"/>
      <c r="IK10" s="42"/>
      <c r="IL10" s="42"/>
      <c r="IM10" s="42"/>
      <c r="IN10" s="42"/>
      <c r="IO10" s="42"/>
      <c r="IP10" s="42"/>
      <c r="IQ10" s="42"/>
      <c r="IR10" s="42"/>
    </row>
    <row r="11" spans="1:252" x14ac:dyDescent="0.45">
      <c r="A11" s="44"/>
      <c r="C11" s="1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4"/>
      <c r="DJ11" s="44"/>
      <c r="DK11" s="44"/>
      <c r="DL11" s="44"/>
      <c r="DM11" s="44"/>
      <c r="DN11" s="44"/>
      <c r="DO11" s="44"/>
      <c r="DP11" s="44"/>
      <c r="DQ11" s="44"/>
      <c r="DR11" s="44"/>
      <c r="DS11" s="44"/>
      <c r="DT11" s="44"/>
      <c r="DU11" s="44"/>
      <c r="DV11" s="44"/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44"/>
      <c r="EN11" s="44"/>
      <c r="EO11" s="44"/>
      <c r="EP11" s="44"/>
      <c r="EQ11" s="44"/>
      <c r="ER11" s="44"/>
      <c r="ES11" s="44"/>
      <c r="ET11" s="44"/>
      <c r="EU11" s="44"/>
      <c r="EV11" s="44"/>
      <c r="EW11" s="44"/>
      <c r="EX11" s="44"/>
      <c r="EY11" s="44"/>
      <c r="EZ11" s="44"/>
      <c r="FA11" s="44"/>
      <c r="FB11" s="44"/>
      <c r="FC11" s="44"/>
      <c r="FD11" s="44"/>
      <c r="FE11" s="44"/>
      <c r="FF11" s="44"/>
      <c r="FG11" s="44"/>
      <c r="FH11" s="44"/>
      <c r="FI11" s="44"/>
      <c r="FJ11" s="44"/>
      <c r="FK11" s="44"/>
      <c r="FL11" s="44"/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44"/>
      <c r="GD11" s="44"/>
      <c r="GE11" s="44"/>
      <c r="GF11" s="44"/>
      <c r="GG11" s="44"/>
      <c r="GH11" s="44"/>
      <c r="GI11" s="44"/>
      <c r="GJ11" s="44"/>
      <c r="GK11" s="44"/>
      <c r="GL11" s="44"/>
      <c r="GM11" s="44"/>
      <c r="GN11" s="44"/>
      <c r="GO11" s="44"/>
      <c r="GP11" s="44"/>
      <c r="GQ11" s="44"/>
      <c r="GR11" s="44"/>
      <c r="GS11" s="44"/>
      <c r="GT11" s="44"/>
      <c r="GU11" s="44"/>
      <c r="GV11" s="44"/>
      <c r="GW11" s="44"/>
      <c r="GX11" s="44"/>
      <c r="GY11" s="44"/>
      <c r="GZ11" s="44"/>
      <c r="HA11" s="44"/>
      <c r="HB11" s="44"/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44"/>
      <c r="HT11" s="44"/>
      <c r="HU11" s="44"/>
      <c r="HV11" s="44"/>
      <c r="HW11" s="44"/>
      <c r="HX11" s="44"/>
      <c r="HY11" s="44"/>
      <c r="HZ11" s="44"/>
      <c r="IA11" s="44"/>
      <c r="IB11" s="44"/>
      <c r="IC11" s="44"/>
      <c r="ID11" s="44"/>
      <c r="IE11" s="44"/>
      <c r="IF11" s="44"/>
      <c r="IG11" s="44"/>
      <c r="IH11" s="44"/>
      <c r="II11" s="44"/>
      <c r="IJ11" s="44"/>
      <c r="IK11" s="44"/>
      <c r="IL11" s="44"/>
      <c r="IM11" s="44"/>
      <c r="IN11" s="44"/>
      <c r="IO11" s="44"/>
      <c r="IP11" s="44"/>
      <c r="IQ11" s="44"/>
      <c r="IR11" s="44"/>
    </row>
    <row r="12" spans="1:252" x14ac:dyDescent="0.45">
      <c r="C12" s="1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IR12" s="39"/>
    </row>
    <row r="13" spans="1:252" x14ac:dyDescent="0.45">
      <c r="C13" s="1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IR13" s="39"/>
    </row>
    <row r="14" spans="1:252" x14ac:dyDescent="0.45">
      <c r="C14" s="1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IR14" s="39"/>
    </row>
    <row r="15" spans="1:252" x14ac:dyDescent="0.45">
      <c r="B15" s="42"/>
      <c r="C15" s="27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IR15" s="39"/>
    </row>
    <row r="16" spans="1:252" x14ac:dyDescent="0.45">
      <c r="C16" s="1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IR16" s="39"/>
    </row>
    <row r="17" spans="1:252" x14ac:dyDescent="0.45">
      <c r="C17" s="1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IR17" s="39"/>
    </row>
    <row r="18" spans="1:252" x14ac:dyDescent="0.45">
      <c r="B18" s="42"/>
      <c r="C18" s="27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IR18" s="39"/>
    </row>
    <row r="19" spans="1:252" x14ac:dyDescent="0.45">
      <c r="C19" s="1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IR19" s="39"/>
    </row>
    <row r="20" spans="1:252" s="48" customFormat="1" x14ac:dyDescent="0.45">
      <c r="A20" s="44"/>
      <c r="B20" s="44"/>
      <c r="C20" s="1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  <c r="DK20" s="44"/>
      <c r="DL20" s="44"/>
      <c r="DM20" s="44"/>
      <c r="DN20" s="44"/>
      <c r="DO20" s="44"/>
      <c r="DP20" s="44"/>
      <c r="DQ20" s="44"/>
      <c r="DR20" s="44"/>
      <c r="DS20" s="44"/>
      <c r="DT20" s="44"/>
      <c r="DU20" s="44"/>
      <c r="DV20" s="44"/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4"/>
      <c r="EI20" s="44"/>
      <c r="EJ20" s="44"/>
      <c r="EK20" s="44"/>
      <c r="EL20" s="44"/>
      <c r="EM20" s="44"/>
      <c r="EN20" s="44"/>
      <c r="EO20" s="44"/>
      <c r="EP20" s="44"/>
      <c r="EQ20" s="44"/>
      <c r="ER20" s="44"/>
      <c r="ES20" s="44"/>
      <c r="ET20" s="44"/>
      <c r="EU20" s="44"/>
      <c r="EV20" s="44"/>
      <c r="EW20" s="44"/>
      <c r="EX20" s="44"/>
      <c r="EY20" s="44"/>
      <c r="EZ20" s="44"/>
      <c r="FA20" s="44"/>
      <c r="FB20" s="44"/>
      <c r="FC20" s="44"/>
      <c r="FD20" s="44"/>
      <c r="FE20" s="44"/>
      <c r="FF20" s="44"/>
      <c r="FG20" s="44"/>
      <c r="FH20" s="44"/>
      <c r="FI20" s="44"/>
      <c r="FJ20" s="44"/>
      <c r="FK20" s="44"/>
      <c r="FL20" s="44"/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44"/>
      <c r="GD20" s="44"/>
      <c r="GE20" s="44"/>
      <c r="GF20" s="44"/>
      <c r="GG20" s="44"/>
      <c r="GH20" s="44"/>
      <c r="GI20" s="44"/>
      <c r="GJ20" s="44"/>
      <c r="GK20" s="44"/>
      <c r="GL20" s="44"/>
      <c r="GM20" s="44"/>
      <c r="GN20" s="44"/>
      <c r="GO20" s="44"/>
      <c r="GP20" s="44"/>
      <c r="GQ20" s="44"/>
      <c r="GR20" s="44"/>
      <c r="GS20" s="44"/>
      <c r="GT20" s="44"/>
      <c r="GU20" s="44"/>
      <c r="GV20" s="44"/>
      <c r="GW20" s="44"/>
      <c r="GX20" s="44"/>
      <c r="GY20" s="44"/>
      <c r="GZ20" s="44"/>
      <c r="HA20" s="44"/>
      <c r="HB20" s="44"/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44"/>
      <c r="HT20" s="44"/>
      <c r="HU20" s="44"/>
      <c r="HV20" s="44"/>
      <c r="HW20" s="44"/>
      <c r="HX20" s="44"/>
      <c r="HY20" s="44"/>
      <c r="HZ20" s="44"/>
      <c r="IA20" s="44"/>
      <c r="IB20" s="44"/>
      <c r="IC20" s="44"/>
      <c r="ID20" s="44"/>
      <c r="IE20" s="44"/>
      <c r="IF20" s="44"/>
      <c r="IG20" s="44"/>
      <c r="IH20" s="44"/>
      <c r="II20" s="44"/>
      <c r="IJ20" s="44"/>
      <c r="IK20" s="44"/>
      <c r="IL20" s="44"/>
      <c r="IM20" s="44"/>
      <c r="IN20" s="44"/>
      <c r="IO20" s="44"/>
      <c r="IP20" s="44"/>
      <c r="IQ20" s="44"/>
      <c r="IR20" s="44"/>
    </row>
    <row r="21" spans="1:252" x14ac:dyDescent="0.45">
      <c r="A21" s="46"/>
      <c r="B21" s="46"/>
      <c r="C21" s="1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</row>
    <row r="22" spans="1:252" x14ac:dyDescent="0.45">
      <c r="C22" s="1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IR22" s="39"/>
    </row>
    <row r="23" spans="1:252" x14ac:dyDescent="0.45">
      <c r="C23" s="1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IR23" s="39"/>
    </row>
    <row r="24" spans="1:252" x14ac:dyDescent="0.45">
      <c r="C24" s="1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IR24" s="39"/>
    </row>
    <row r="25" spans="1:252" s="43" customFormat="1" x14ac:dyDescent="0.45">
      <c r="A25" s="39"/>
      <c r="B25" s="39"/>
      <c r="C25" s="1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</row>
    <row r="26" spans="1:252" x14ac:dyDescent="0.45">
      <c r="C26" s="1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</row>
    <row r="27" spans="1:252" x14ac:dyDescent="0.45">
      <c r="B27" s="42"/>
      <c r="C27" s="27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IR27" s="39"/>
    </row>
    <row r="28" spans="1:252" x14ac:dyDescent="0.45">
      <c r="C28" s="1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IR28" s="39"/>
    </row>
    <row r="29" spans="1:252" x14ac:dyDescent="0.45">
      <c r="C29" s="1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IR29" s="39"/>
    </row>
    <row r="30" spans="1:252" x14ac:dyDescent="0.45">
      <c r="C30" s="1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IR30" s="39"/>
    </row>
    <row r="31" spans="1:252" s="43" customFormat="1" x14ac:dyDescent="0.45">
      <c r="A31" s="39"/>
      <c r="B31" s="39"/>
      <c r="C31" s="1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</row>
    <row r="32" spans="1:252" x14ac:dyDescent="0.45">
      <c r="C32" s="1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"/>
      <c r="BM32" s="4"/>
      <c r="BN32" s="4"/>
      <c r="BO32" s="4"/>
      <c r="BP32" s="4"/>
      <c r="BQ32" s="4"/>
      <c r="BR32" s="4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/>
      <c r="DY32" s="42"/>
      <c r="DZ32" s="42"/>
      <c r="EA32" s="42"/>
      <c r="EB32" s="42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/>
      <c r="GD32" s="42"/>
      <c r="GE32" s="42"/>
      <c r="GF32" s="42"/>
      <c r="GG32" s="42"/>
      <c r="GH32" s="42"/>
      <c r="GI32" s="42"/>
      <c r="GJ32" s="42"/>
      <c r="GK32" s="42"/>
      <c r="GL32" s="42"/>
      <c r="GM32" s="42"/>
      <c r="GN32" s="42"/>
      <c r="GO32" s="42"/>
      <c r="GP32" s="42"/>
      <c r="GQ32" s="42"/>
      <c r="GR32" s="42"/>
      <c r="GS32" s="42"/>
      <c r="GT32" s="42"/>
      <c r="GU32" s="42"/>
      <c r="GV32" s="42"/>
      <c r="GW32" s="42"/>
      <c r="GX32" s="42"/>
      <c r="GY32" s="42"/>
      <c r="GZ32" s="42"/>
      <c r="HA32" s="42"/>
      <c r="HB32" s="42"/>
      <c r="HC32" s="42"/>
      <c r="HD32" s="42"/>
      <c r="HE32" s="42"/>
      <c r="HF32" s="42"/>
      <c r="HG32" s="42"/>
      <c r="HH32" s="42"/>
      <c r="HI32" s="42"/>
      <c r="HJ32" s="42"/>
      <c r="HK32" s="42"/>
      <c r="HL32" s="42"/>
      <c r="HM32" s="42"/>
      <c r="HN32" s="42"/>
      <c r="HO32" s="42"/>
      <c r="HP32" s="42"/>
      <c r="HQ32" s="42"/>
      <c r="HR32" s="42"/>
      <c r="HS32" s="42"/>
      <c r="HT32" s="42"/>
      <c r="HU32" s="42"/>
      <c r="HV32" s="42"/>
      <c r="HW32" s="42"/>
      <c r="HX32" s="42"/>
      <c r="HY32" s="42"/>
      <c r="HZ32" s="42"/>
      <c r="IA32" s="42"/>
      <c r="IB32" s="42"/>
      <c r="IC32" s="42"/>
      <c r="ID32" s="42"/>
      <c r="IE32" s="42"/>
      <c r="IF32" s="42"/>
      <c r="IG32" s="42"/>
      <c r="IH32" s="42"/>
      <c r="II32" s="42"/>
      <c r="IJ32" s="42"/>
      <c r="IK32" s="42"/>
      <c r="IL32" s="42"/>
      <c r="IM32" s="42"/>
      <c r="IN32" s="42"/>
      <c r="IO32" s="42"/>
      <c r="IP32" s="42"/>
      <c r="IQ32" s="42"/>
      <c r="IR32" s="42"/>
    </row>
    <row r="33" spans="1:252" s="43" customFormat="1" x14ac:dyDescent="0.45">
      <c r="A33" s="44"/>
      <c r="B33" s="39"/>
      <c r="C33" s="1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4"/>
      <c r="DJ33" s="44"/>
      <c r="DK33" s="44"/>
      <c r="DL33" s="44"/>
      <c r="DM33" s="44"/>
      <c r="DN33" s="44"/>
      <c r="DO33" s="44"/>
      <c r="DP33" s="44"/>
      <c r="DQ33" s="44"/>
      <c r="DR33" s="44"/>
      <c r="DS33" s="44"/>
      <c r="DT33" s="44"/>
      <c r="DU33" s="44"/>
      <c r="DV33" s="44"/>
      <c r="DW33" s="44"/>
      <c r="DX33" s="44"/>
      <c r="DY33" s="44"/>
      <c r="DZ33" s="44"/>
      <c r="EA33" s="44"/>
      <c r="EB33" s="44"/>
      <c r="EC33" s="44"/>
      <c r="ED33" s="44"/>
      <c r="EE33" s="44"/>
      <c r="EF33" s="44"/>
      <c r="EG33" s="44"/>
      <c r="EH33" s="44"/>
      <c r="EI33" s="44"/>
      <c r="EJ33" s="44"/>
      <c r="EK33" s="44"/>
      <c r="EL33" s="44"/>
      <c r="EM33" s="44"/>
      <c r="EN33" s="44"/>
      <c r="EO33" s="44"/>
      <c r="EP33" s="44"/>
      <c r="EQ33" s="44"/>
      <c r="ER33" s="44"/>
      <c r="ES33" s="44"/>
      <c r="ET33" s="44"/>
      <c r="EU33" s="44"/>
      <c r="EV33" s="44"/>
      <c r="EW33" s="44"/>
      <c r="EX33" s="44"/>
      <c r="EY33" s="44"/>
      <c r="EZ33" s="44"/>
      <c r="FA33" s="44"/>
      <c r="FB33" s="44"/>
      <c r="FC33" s="44"/>
      <c r="FD33" s="44"/>
      <c r="FE33" s="44"/>
      <c r="FF33" s="44"/>
      <c r="FG33" s="44"/>
      <c r="FH33" s="44"/>
      <c r="FI33" s="44"/>
      <c r="FJ33" s="44"/>
      <c r="FK33" s="44"/>
      <c r="FL33" s="44"/>
      <c r="FM33" s="44"/>
      <c r="FN33" s="44"/>
      <c r="FO33" s="44"/>
      <c r="FP33" s="44"/>
      <c r="FQ33" s="44"/>
      <c r="FR33" s="44"/>
      <c r="FS33" s="44"/>
      <c r="FT33" s="44"/>
      <c r="FU33" s="44"/>
      <c r="FV33" s="44"/>
      <c r="FW33" s="44"/>
      <c r="FX33" s="44"/>
      <c r="FY33" s="44"/>
      <c r="FZ33" s="44"/>
      <c r="GA33" s="44"/>
      <c r="GB33" s="44"/>
      <c r="GC33" s="44"/>
      <c r="GD33" s="44"/>
      <c r="GE33" s="44"/>
      <c r="GF33" s="44"/>
      <c r="GG33" s="44"/>
      <c r="GH33" s="44"/>
      <c r="GI33" s="44"/>
      <c r="GJ33" s="44"/>
      <c r="GK33" s="44"/>
      <c r="GL33" s="44"/>
      <c r="GM33" s="44"/>
      <c r="GN33" s="44"/>
      <c r="GO33" s="44"/>
      <c r="GP33" s="44"/>
      <c r="GQ33" s="44"/>
      <c r="GR33" s="44"/>
      <c r="GS33" s="44"/>
      <c r="GT33" s="44"/>
      <c r="GU33" s="44"/>
      <c r="GV33" s="44"/>
      <c r="GW33" s="44"/>
      <c r="GX33" s="44"/>
      <c r="GY33" s="44"/>
      <c r="GZ33" s="44"/>
      <c r="HA33" s="44"/>
      <c r="HB33" s="44"/>
      <c r="HC33" s="44"/>
      <c r="HD33" s="44"/>
      <c r="HE33" s="44"/>
      <c r="HF33" s="44"/>
      <c r="HG33" s="44"/>
      <c r="HH33" s="44"/>
      <c r="HI33" s="44"/>
      <c r="HJ33" s="44"/>
      <c r="HK33" s="44"/>
      <c r="HL33" s="44"/>
      <c r="HM33" s="44"/>
      <c r="HN33" s="44"/>
      <c r="HO33" s="44"/>
      <c r="HP33" s="44"/>
      <c r="HQ33" s="44"/>
      <c r="HR33" s="44"/>
      <c r="HS33" s="44"/>
      <c r="HT33" s="44"/>
      <c r="HU33" s="44"/>
      <c r="HV33" s="44"/>
      <c r="HW33" s="44"/>
      <c r="HX33" s="44"/>
      <c r="HY33" s="44"/>
      <c r="HZ33" s="44"/>
      <c r="IA33" s="44"/>
      <c r="IB33" s="44"/>
      <c r="IC33" s="44"/>
      <c r="ID33" s="44"/>
      <c r="IE33" s="44"/>
      <c r="IF33" s="44"/>
      <c r="IG33" s="44"/>
      <c r="IH33" s="44"/>
      <c r="II33" s="44"/>
      <c r="IJ33" s="44"/>
      <c r="IK33" s="44"/>
      <c r="IL33" s="44"/>
      <c r="IM33" s="44"/>
      <c r="IN33" s="44"/>
      <c r="IO33" s="44"/>
      <c r="IP33" s="44"/>
      <c r="IQ33" s="44"/>
      <c r="IR33" s="44"/>
    </row>
    <row r="34" spans="1:252" x14ac:dyDescent="0.45">
      <c r="C34" s="1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"/>
      <c r="BM34" s="4"/>
      <c r="BN34" s="4"/>
      <c r="BO34" s="4"/>
      <c r="BP34" s="4"/>
      <c r="BQ34" s="4"/>
      <c r="BR34" s="4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  <c r="HW34" s="42"/>
      <c r="HX34" s="42"/>
      <c r="HY34" s="42"/>
      <c r="HZ34" s="42"/>
      <c r="IA34" s="42"/>
      <c r="IB34" s="42"/>
      <c r="IC34" s="42"/>
      <c r="ID34" s="42"/>
      <c r="IE34" s="42"/>
      <c r="IF34" s="42"/>
      <c r="IG34" s="42"/>
      <c r="IH34" s="42"/>
      <c r="II34" s="42"/>
      <c r="IJ34" s="42"/>
      <c r="IK34" s="42"/>
      <c r="IL34" s="42"/>
      <c r="IM34" s="42"/>
      <c r="IN34" s="42"/>
      <c r="IO34" s="42"/>
      <c r="IP34" s="42"/>
      <c r="IQ34" s="42"/>
      <c r="IR34" s="42"/>
    </row>
    <row r="35" spans="1:252" x14ac:dyDescent="0.45">
      <c r="A35" s="44"/>
      <c r="C35" s="1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4"/>
      <c r="DJ35" s="44"/>
      <c r="DK35" s="44"/>
      <c r="DL35" s="44"/>
      <c r="DM35" s="44"/>
      <c r="DN35" s="44"/>
      <c r="DO35" s="44"/>
      <c r="DP35" s="44"/>
      <c r="DQ35" s="44"/>
      <c r="DR35" s="44"/>
      <c r="DS35" s="44"/>
      <c r="DT35" s="44"/>
      <c r="DU35" s="44"/>
      <c r="DV35" s="44"/>
      <c r="DW35" s="44"/>
      <c r="DX35" s="44"/>
      <c r="DY35" s="44"/>
      <c r="DZ35" s="44"/>
      <c r="EA35" s="44"/>
      <c r="EB35" s="44"/>
      <c r="EC35" s="44"/>
      <c r="ED35" s="44"/>
      <c r="EE35" s="44"/>
      <c r="EF35" s="44"/>
      <c r="EG35" s="44"/>
      <c r="EH35" s="44"/>
      <c r="EI35" s="44"/>
      <c r="EJ35" s="44"/>
      <c r="EK35" s="44"/>
      <c r="EL35" s="44"/>
      <c r="EM35" s="44"/>
      <c r="EN35" s="44"/>
      <c r="EO35" s="44"/>
      <c r="EP35" s="44"/>
      <c r="EQ35" s="44"/>
      <c r="ER35" s="44"/>
      <c r="ES35" s="44"/>
      <c r="ET35" s="44"/>
      <c r="EU35" s="44"/>
      <c r="EV35" s="44"/>
      <c r="EW35" s="44"/>
      <c r="EX35" s="44"/>
      <c r="EY35" s="44"/>
      <c r="EZ35" s="44"/>
      <c r="FA35" s="44"/>
      <c r="FB35" s="44"/>
      <c r="FC35" s="44"/>
      <c r="FD35" s="44"/>
      <c r="FE35" s="44"/>
      <c r="FF35" s="44"/>
      <c r="FG35" s="44"/>
      <c r="FH35" s="44"/>
      <c r="FI35" s="44"/>
      <c r="FJ35" s="44"/>
      <c r="FK35" s="44"/>
      <c r="FL35" s="44"/>
      <c r="FM35" s="44"/>
      <c r="FN35" s="44"/>
      <c r="FO35" s="44"/>
      <c r="FP35" s="44"/>
      <c r="FQ35" s="44"/>
      <c r="FR35" s="44"/>
      <c r="FS35" s="44"/>
      <c r="FT35" s="44"/>
      <c r="FU35" s="44"/>
      <c r="FV35" s="44"/>
      <c r="FW35" s="44"/>
      <c r="FX35" s="44"/>
      <c r="FY35" s="44"/>
      <c r="FZ35" s="44"/>
      <c r="GA35" s="44"/>
      <c r="GB35" s="44"/>
      <c r="GC35" s="44"/>
      <c r="GD35" s="44"/>
      <c r="GE35" s="44"/>
      <c r="GF35" s="44"/>
      <c r="GG35" s="44"/>
      <c r="GH35" s="44"/>
      <c r="GI35" s="44"/>
      <c r="GJ35" s="44"/>
      <c r="GK35" s="44"/>
      <c r="GL35" s="44"/>
      <c r="GM35" s="44"/>
      <c r="GN35" s="44"/>
      <c r="GO35" s="44"/>
      <c r="GP35" s="44"/>
      <c r="GQ35" s="44"/>
      <c r="GR35" s="44"/>
      <c r="GS35" s="44"/>
      <c r="GT35" s="44"/>
      <c r="GU35" s="44"/>
      <c r="GV35" s="44"/>
      <c r="GW35" s="44"/>
      <c r="GX35" s="44"/>
      <c r="GY35" s="44"/>
      <c r="GZ35" s="44"/>
      <c r="HA35" s="44"/>
      <c r="HB35" s="44"/>
      <c r="HC35" s="44"/>
      <c r="HD35" s="44"/>
      <c r="HE35" s="44"/>
      <c r="HF35" s="44"/>
      <c r="HG35" s="44"/>
      <c r="HH35" s="44"/>
      <c r="HI35" s="44"/>
      <c r="HJ35" s="44"/>
      <c r="HK35" s="44"/>
      <c r="HL35" s="44"/>
      <c r="HM35" s="44"/>
      <c r="HN35" s="44"/>
      <c r="HO35" s="44"/>
      <c r="HP35" s="44"/>
      <c r="HQ35" s="44"/>
      <c r="HR35" s="44"/>
      <c r="HS35" s="44"/>
      <c r="HT35" s="44"/>
      <c r="HU35" s="44"/>
      <c r="HV35" s="44"/>
      <c r="HW35" s="44"/>
      <c r="HX35" s="44"/>
      <c r="HY35" s="44"/>
      <c r="HZ35" s="44"/>
      <c r="IA35" s="44"/>
      <c r="IB35" s="44"/>
      <c r="IC35" s="44"/>
      <c r="ID35" s="44"/>
      <c r="IE35" s="44"/>
      <c r="IF35" s="44"/>
      <c r="IG35" s="44"/>
      <c r="IH35" s="44"/>
      <c r="II35" s="44"/>
      <c r="IJ35" s="44"/>
      <c r="IK35" s="44"/>
      <c r="IL35" s="44"/>
      <c r="IM35" s="44"/>
      <c r="IN35" s="44"/>
      <c r="IO35" s="44"/>
      <c r="IP35" s="44"/>
      <c r="IQ35" s="44"/>
      <c r="IR35" s="44"/>
    </row>
    <row r="36" spans="1:252" x14ac:dyDescent="0.45">
      <c r="B36" s="42"/>
      <c r="C36" s="27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IR36" s="39"/>
    </row>
    <row r="37" spans="1:252" s="43" customFormat="1" x14ac:dyDescent="0.45">
      <c r="A37" s="39"/>
      <c r="B37" s="39"/>
      <c r="C37" s="1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</row>
    <row r="38" spans="1:252" x14ac:dyDescent="0.45">
      <c r="B38" s="42"/>
      <c r="C38" s="27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"/>
      <c r="BM38" s="4"/>
      <c r="BN38" s="4"/>
      <c r="BO38" s="4"/>
      <c r="BP38" s="4"/>
      <c r="BQ38" s="4"/>
      <c r="BR38" s="4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</row>
    <row r="39" spans="1:252" x14ac:dyDescent="0.45">
      <c r="C39" s="1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"/>
      <c r="BM39" s="4"/>
      <c r="BN39" s="4"/>
      <c r="BO39" s="4"/>
      <c r="BP39" s="4"/>
      <c r="BQ39" s="4"/>
      <c r="BR39" s="4"/>
      <c r="IR39" s="39"/>
    </row>
    <row r="40" spans="1:252" x14ac:dyDescent="0.45">
      <c r="C40" s="1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"/>
      <c r="BM40" s="4"/>
      <c r="BN40" s="4"/>
      <c r="BO40" s="4"/>
      <c r="BP40" s="4"/>
      <c r="BQ40" s="4"/>
      <c r="BR40" s="4"/>
      <c r="IR40" s="39"/>
    </row>
    <row r="41" spans="1:252" x14ac:dyDescent="0.45">
      <c r="C41" s="1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"/>
      <c r="BM41" s="4"/>
      <c r="BN41" s="4"/>
      <c r="BO41" s="4"/>
      <c r="BP41" s="4"/>
      <c r="BQ41" s="4"/>
      <c r="BR41" s="4"/>
      <c r="IR41" s="39"/>
    </row>
    <row r="42" spans="1:252" x14ac:dyDescent="0.45">
      <c r="B42" s="42"/>
      <c r="C42" s="27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"/>
      <c r="BM42" s="4"/>
      <c r="BN42" s="4"/>
      <c r="BO42" s="4"/>
      <c r="BP42" s="4"/>
      <c r="BQ42" s="4"/>
      <c r="BR42" s="4"/>
      <c r="IR42" s="39"/>
    </row>
    <row r="43" spans="1:252" x14ac:dyDescent="0.45">
      <c r="C43" s="1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"/>
      <c r="BM43" s="4"/>
      <c r="BN43" s="4"/>
      <c r="BO43" s="4"/>
      <c r="BP43" s="4"/>
      <c r="BQ43" s="4"/>
      <c r="BR43" s="4"/>
      <c r="IR43" s="39"/>
    </row>
    <row r="44" spans="1:252" x14ac:dyDescent="0.45">
      <c r="A44" s="44"/>
      <c r="B44" s="44"/>
      <c r="C44" s="1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44"/>
      <c r="DQ44" s="44"/>
      <c r="DR44" s="44"/>
      <c r="DS44" s="44"/>
      <c r="DT44" s="44"/>
      <c r="DU44" s="44"/>
      <c r="DV44" s="44"/>
      <c r="DW44" s="44"/>
      <c r="DX44" s="44"/>
      <c r="DY44" s="44"/>
      <c r="DZ44" s="44"/>
      <c r="EA44" s="44"/>
      <c r="EB44" s="44"/>
      <c r="EC44" s="44"/>
      <c r="ED44" s="44"/>
      <c r="EE44" s="44"/>
      <c r="EF44" s="44"/>
      <c r="EG44" s="44"/>
      <c r="EH44" s="44"/>
      <c r="EI44" s="44"/>
      <c r="EJ44" s="44"/>
      <c r="EK44" s="44"/>
      <c r="EL44" s="44"/>
      <c r="EM44" s="44"/>
      <c r="EN44" s="44"/>
      <c r="EO44" s="44"/>
      <c r="EP44" s="44"/>
      <c r="EQ44" s="44"/>
      <c r="ER44" s="44"/>
      <c r="ES44" s="44"/>
      <c r="ET44" s="44"/>
      <c r="EU44" s="44"/>
      <c r="EV44" s="44"/>
      <c r="EW44" s="44"/>
      <c r="EX44" s="44"/>
      <c r="EY44" s="44"/>
      <c r="EZ44" s="44"/>
      <c r="FA44" s="44"/>
      <c r="FB44" s="44"/>
      <c r="FC44" s="44"/>
      <c r="FD44" s="44"/>
      <c r="FE44" s="44"/>
      <c r="FF44" s="44"/>
      <c r="FG44" s="44"/>
      <c r="FH44" s="44"/>
      <c r="FI44" s="44"/>
      <c r="FJ44" s="44"/>
      <c r="FK44" s="44"/>
      <c r="FL44" s="44"/>
      <c r="FM44" s="44"/>
      <c r="FN44" s="44"/>
      <c r="FO44" s="44"/>
      <c r="FP44" s="44"/>
      <c r="FQ44" s="44"/>
      <c r="FR44" s="44"/>
      <c r="FS44" s="44"/>
      <c r="FT44" s="44"/>
      <c r="FU44" s="44"/>
      <c r="FV44" s="44"/>
      <c r="FW44" s="44"/>
      <c r="FX44" s="44"/>
      <c r="FY44" s="44"/>
      <c r="FZ44" s="44"/>
      <c r="GA44" s="44"/>
      <c r="GB44" s="44"/>
      <c r="GC44" s="44"/>
      <c r="GD44" s="44"/>
      <c r="GE44" s="44"/>
      <c r="GF44" s="44"/>
      <c r="GG44" s="44"/>
      <c r="GH44" s="44"/>
      <c r="GI44" s="44"/>
      <c r="GJ44" s="44"/>
      <c r="GK44" s="44"/>
      <c r="GL44" s="44"/>
      <c r="GM44" s="44"/>
      <c r="GN44" s="44"/>
      <c r="GO44" s="44"/>
      <c r="GP44" s="44"/>
      <c r="GQ44" s="44"/>
      <c r="GR44" s="44"/>
      <c r="GS44" s="44"/>
      <c r="GT44" s="44"/>
      <c r="GU44" s="44"/>
      <c r="GV44" s="44"/>
      <c r="GW44" s="44"/>
      <c r="GX44" s="44"/>
      <c r="GY44" s="44"/>
      <c r="GZ44" s="44"/>
      <c r="HA44" s="44"/>
      <c r="HB44" s="44"/>
      <c r="HC44" s="44"/>
      <c r="HD44" s="44"/>
      <c r="HE44" s="44"/>
      <c r="HF44" s="44"/>
      <c r="HG44" s="44"/>
      <c r="HH44" s="44"/>
      <c r="HI44" s="44"/>
      <c r="HJ44" s="44"/>
      <c r="HK44" s="44"/>
      <c r="HL44" s="44"/>
      <c r="HM44" s="44"/>
      <c r="HN44" s="44"/>
      <c r="HO44" s="44"/>
      <c r="HP44" s="44"/>
      <c r="HQ44" s="44"/>
      <c r="HR44" s="44"/>
      <c r="HS44" s="44"/>
      <c r="HT44" s="44"/>
      <c r="HU44" s="44"/>
      <c r="HV44" s="44"/>
      <c r="HW44" s="44"/>
      <c r="HX44" s="44"/>
      <c r="HY44" s="44"/>
      <c r="HZ44" s="44"/>
      <c r="IA44" s="44"/>
      <c r="IB44" s="44"/>
      <c r="IC44" s="44"/>
      <c r="ID44" s="44"/>
      <c r="IE44" s="44"/>
      <c r="IF44" s="44"/>
      <c r="IG44" s="44"/>
      <c r="IH44" s="44"/>
      <c r="II44" s="44"/>
      <c r="IJ44" s="44"/>
      <c r="IK44" s="44"/>
      <c r="IL44" s="44"/>
      <c r="IM44" s="44"/>
      <c r="IN44" s="44"/>
      <c r="IO44" s="44"/>
      <c r="IP44" s="44"/>
      <c r="IQ44" s="44"/>
      <c r="IR44" s="44"/>
    </row>
    <row r="45" spans="1:252" x14ac:dyDescent="0.45">
      <c r="A45" s="46"/>
      <c r="B45" s="46"/>
      <c r="C45" s="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DY45" s="46"/>
      <c r="DZ45" s="46"/>
      <c r="EA45" s="46"/>
      <c r="EB45" s="46"/>
      <c r="EC45" s="46"/>
      <c r="ED45" s="46"/>
      <c r="EE45" s="46"/>
      <c r="EF45" s="46"/>
      <c r="EG45" s="46"/>
      <c r="EH45" s="46"/>
      <c r="EI45" s="46"/>
      <c r="EJ45" s="46"/>
      <c r="EK45" s="46"/>
      <c r="EL45" s="46"/>
      <c r="EM45" s="46"/>
      <c r="EN45" s="46"/>
      <c r="EO45" s="46"/>
      <c r="EP45" s="46"/>
      <c r="EQ45" s="46"/>
      <c r="ER45" s="46"/>
      <c r="ES45" s="46"/>
      <c r="ET45" s="46"/>
      <c r="EU45" s="46"/>
      <c r="EV45" s="46"/>
      <c r="EW45" s="46"/>
      <c r="EX45" s="46"/>
      <c r="EY45" s="46"/>
      <c r="EZ45" s="46"/>
      <c r="FA45" s="46"/>
      <c r="FB45" s="46"/>
      <c r="FC45" s="46"/>
      <c r="FD45" s="46"/>
      <c r="FE45" s="46"/>
      <c r="FF45" s="46"/>
      <c r="FG45" s="46"/>
      <c r="FH45" s="46"/>
      <c r="FI45" s="46"/>
      <c r="FJ45" s="46"/>
      <c r="FK45" s="46"/>
      <c r="FL45" s="46"/>
      <c r="FM45" s="46"/>
      <c r="FN45" s="46"/>
      <c r="FO45" s="46"/>
      <c r="FP45" s="46"/>
      <c r="FQ45" s="46"/>
      <c r="FR45" s="46"/>
      <c r="FS45" s="46"/>
      <c r="FT45" s="46"/>
      <c r="FU45" s="46"/>
      <c r="FV45" s="46"/>
      <c r="FW45" s="46"/>
      <c r="FX45" s="46"/>
      <c r="FY45" s="46"/>
      <c r="FZ45" s="46"/>
      <c r="GA45" s="46"/>
      <c r="GB45" s="46"/>
      <c r="GC45" s="46"/>
      <c r="GD45" s="46"/>
      <c r="GE45" s="46"/>
      <c r="GF45" s="46"/>
      <c r="GG45" s="46"/>
      <c r="GH45" s="46"/>
      <c r="GI45" s="46"/>
      <c r="GJ45" s="46"/>
      <c r="GK45" s="46"/>
      <c r="GL45" s="46"/>
      <c r="GM45" s="46"/>
      <c r="GN45" s="46"/>
      <c r="GO45" s="46"/>
      <c r="GP45" s="46"/>
      <c r="GQ45" s="46"/>
      <c r="GR45" s="46"/>
      <c r="GS45" s="46"/>
      <c r="GT45" s="46"/>
      <c r="GU45" s="46"/>
      <c r="GV45" s="46"/>
      <c r="GW45" s="46"/>
      <c r="GX45" s="46"/>
      <c r="GY45" s="46"/>
      <c r="GZ45" s="46"/>
      <c r="HA45" s="46"/>
      <c r="HB45" s="46"/>
      <c r="HC45" s="46"/>
      <c r="HD45" s="46"/>
      <c r="HE45" s="46"/>
      <c r="HF45" s="46"/>
      <c r="HG45" s="46"/>
      <c r="HH45" s="46"/>
      <c r="HI45" s="46"/>
      <c r="HJ45" s="46"/>
      <c r="HK45" s="46"/>
      <c r="HL45" s="46"/>
      <c r="HM45" s="46"/>
      <c r="HN45" s="46"/>
      <c r="HO45" s="46"/>
      <c r="HP45" s="46"/>
      <c r="HQ45" s="46"/>
      <c r="HR45" s="46"/>
      <c r="HS45" s="46"/>
      <c r="HT45" s="46"/>
      <c r="HU45" s="46"/>
      <c r="HV45" s="46"/>
      <c r="HW45" s="46"/>
      <c r="HX45" s="46"/>
      <c r="HY45" s="46"/>
      <c r="HZ45" s="46"/>
      <c r="IA45" s="46"/>
      <c r="IB45" s="46"/>
      <c r="IC45" s="46"/>
      <c r="ID45" s="46"/>
      <c r="IE45" s="46"/>
      <c r="IF45" s="46"/>
      <c r="IG45" s="46"/>
      <c r="IH45" s="46"/>
      <c r="II45" s="46"/>
      <c r="IJ45" s="46"/>
      <c r="IK45" s="46"/>
      <c r="IL45" s="46"/>
      <c r="IM45" s="46"/>
      <c r="IN45" s="46"/>
      <c r="IO45" s="46"/>
      <c r="IP45" s="46"/>
      <c r="IQ45" s="46"/>
      <c r="IR45" s="46"/>
    </row>
    <row r="46" spans="1:252" x14ac:dyDescent="0.45">
      <c r="A46" s="44"/>
      <c r="B46" s="44"/>
      <c r="C46" s="1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44"/>
      <c r="DQ46" s="44"/>
      <c r="DR46" s="44"/>
      <c r="DS46" s="44"/>
      <c r="DT46" s="44"/>
      <c r="DU46" s="44"/>
      <c r="DV46" s="44"/>
      <c r="DW46" s="44"/>
      <c r="DX46" s="44"/>
      <c r="DY46" s="44"/>
      <c r="DZ46" s="44"/>
      <c r="EA46" s="44"/>
      <c r="EB46" s="44"/>
      <c r="EC46" s="44"/>
      <c r="ED46" s="44"/>
      <c r="EE46" s="44"/>
      <c r="EF46" s="44"/>
      <c r="EG46" s="44"/>
      <c r="EH46" s="44"/>
      <c r="EI46" s="44"/>
      <c r="EJ46" s="44"/>
      <c r="EK46" s="44"/>
      <c r="EL46" s="44"/>
      <c r="EM46" s="44"/>
      <c r="EN46" s="44"/>
      <c r="EO46" s="44"/>
      <c r="EP46" s="44"/>
      <c r="EQ46" s="44"/>
      <c r="ER46" s="44"/>
      <c r="ES46" s="44"/>
      <c r="ET46" s="44"/>
      <c r="EU46" s="44"/>
      <c r="EV46" s="44"/>
      <c r="EW46" s="44"/>
      <c r="EX46" s="44"/>
      <c r="EY46" s="44"/>
      <c r="EZ46" s="44"/>
      <c r="FA46" s="44"/>
      <c r="FB46" s="44"/>
      <c r="FC46" s="44"/>
      <c r="FD46" s="44"/>
      <c r="FE46" s="44"/>
      <c r="FF46" s="44"/>
      <c r="FG46" s="44"/>
      <c r="FH46" s="44"/>
      <c r="FI46" s="44"/>
      <c r="FJ46" s="44"/>
      <c r="FK46" s="44"/>
      <c r="FL46" s="44"/>
      <c r="FM46" s="44"/>
      <c r="FN46" s="44"/>
      <c r="FO46" s="44"/>
      <c r="FP46" s="44"/>
      <c r="FQ46" s="44"/>
      <c r="FR46" s="44"/>
      <c r="FS46" s="44"/>
      <c r="FT46" s="44"/>
      <c r="FU46" s="44"/>
      <c r="FV46" s="44"/>
      <c r="FW46" s="44"/>
      <c r="FX46" s="44"/>
      <c r="FY46" s="44"/>
      <c r="FZ46" s="44"/>
      <c r="GA46" s="44"/>
      <c r="GB46" s="44"/>
      <c r="GC46" s="44"/>
      <c r="GD46" s="44"/>
      <c r="GE46" s="44"/>
      <c r="GF46" s="44"/>
      <c r="GG46" s="44"/>
      <c r="GH46" s="44"/>
      <c r="GI46" s="44"/>
      <c r="GJ46" s="44"/>
      <c r="GK46" s="44"/>
      <c r="GL46" s="44"/>
      <c r="GM46" s="44"/>
      <c r="GN46" s="44"/>
      <c r="GO46" s="44"/>
      <c r="GP46" s="44"/>
      <c r="GQ46" s="44"/>
      <c r="GR46" s="44"/>
      <c r="GS46" s="44"/>
      <c r="GT46" s="44"/>
      <c r="GU46" s="44"/>
      <c r="GV46" s="44"/>
      <c r="GW46" s="44"/>
      <c r="GX46" s="44"/>
      <c r="GY46" s="44"/>
      <c r="GZ46" s="44"/>
      <c r="HA46" s="44"/>
      <c r="HB46" s="44"/>
      <c r="HC46" s="44"/>
      <c r="HD46" s="44"/>
      <c r="HE46" s="44"/>
      <c r="HF46" s="44"/>
      <c r="HG46" s="44"/>
      <c r="HH46" s="44"/>
      <c r="HI46" s="44"/>
      <c r="HJ46" s="44"/>
      <c r="HK46" s="44"/>
      <c r="HL46" s="44"/>
      <c r="HM46" s="44"/>
      <c r="HN46" s="44"/>
      <c r="HO46" s="44"/>
      <c r="HP46" s="44"/>
      <c r="HQ46" s="44"/>
      <c r="HR46" s="44"/>
      <c r="HS46" s="44"/>
      <c r="HT46" s="44"/>
      <c r="HU46" s="44"/>
      <c r="HV46" s="44"/>
      <c r="HW46" s="44"/>
      <c r="HX46" s="44"/>
      <c r="HY46" s="44"/>
      <c r="HZ46" s="44"/>
      <c r="IA46" s="44"/>
      <c r="IB46" s="44"/>
      <c r="IC46" s="44"/>
      <c r="ID46" s="44"/>
      <c r="IE46" s="44"/>
      <c r="IF46" s="44"/>
      <c r="IG46" s="44"/>
      <c r="IH46" s="44"/>
      <c r="II46" s="44"/>
      <c r="IJ46" s="44"/>
      <c r="IK46" s="44"/>
      <c r="IL46" s="44"/>
      <c r="IM46" s="44"/>
      <c r="IN46" s="44"/>
      <c r="IO46" s="44"/>
      <c r="IP46" s="44"/>
      <c r="IQ46" s="44"/>
      <c r="IR46" s="44"/>
    </row>
    <row r="47" spans="1:252" s="43" customFormat="1" x14ac:dyDescent="0.45">
      <c r="A47" s="39"/>
      <c r="B47" s="39"/>
      <c r="C47" s="1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</row>
    <row r="48" spans="1:252" x14ac:dyDescent="0.45">
      <c r="C48" s="1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</row>
    <row r="49" spans="1:252" x14ac:dyDescent="0.45">
      <c r="C49" s="1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2"/>
      <c r="GA49" s="42"/>
      <c r="GB49" s="42"/>
      <c r="GC49" s="42"/>
      <c r="GD49" s="42"/>
      <c r="GE49" s="42"/>
      <c r="GF49" s="42"/>
      <c r="GG49" s="42"/>
      <c r="GH49" s="42"/>
      <c r="GI49" s="42"/>
      <c r="GJ49" s="42"/>
      <c r="GK49" s="42"/>
      <c r="GL49" s="42"/>
      <c r="GM49" s="42"/>
      <c r="GN49" s="42"/>
      <c r="GO49" s="42"/>
      <c r="GP49" s="42"/>
      <c r="GQ49" s="42"/>
      <c r="GR49" s="42"/>
      <c r="GS49" s="42"/>
      <c r="GT49" s="42"/>
      <c r="GU49" s="42"/>
      <c r="GV49" s="42"/>
      <c r="GW49" s="42"/>
      <c r="GX49" s="42"/>
      <c r="GY49" s="42"/>
      <c r="GZ49" s="42"/>
      <c r="HA49" s="42"/>
      <c r="HB49" s="42"/>
      <c r="HC49" s="42"/>
      <c r="HD49" s="42"/>
      <c r="HE49" s="42"/>
      <c r="HF49" s="42"/>
      <c r="HG49" s="42"/>
      <c r="HH49" s="42"/>
      <c r="HI49" s="42"/>
      <c r="HJ49" s="42"/>
      <c r="HK49" s="42"/>
      <c r="HL49" s="42"/>
      <c r="HM49" s="42"/>
      <c r="HN49" s="42"/>
      <c r="HO49" s="42"/>
      <c r="HP49" s="42"/>
      <c r="HQ49" s="42"/>
      <c r="HR49" s="42"/>
      <c r="HS49" s="42"/>
      <c r="HT49" s="42"/>
      <c r="HU49" s="42"/>
      <c r="HV49" s="42"/>
      <c r="HW49" s="42"/>
      <c r="HX49" s="42"/>
      <c r="HY49" s="42"/>
      <c r="HZ49" s="42"/>
      <c r="IA49" s="42"/>
      <c r="IB49" s="42"/>
      <c r="IC49" s="42"/>
      <c r="ID49" s="42"/>
      <c r="IE49" s="42"/>
      <c r="IF49" s="42"/>
      <c r="IG49" s="42"/>
      <c r="IH49" s="42"/>
      <c r="II49" s="42"/>
      <c r="IJ49" s="42"/>
      <c r="IK49" s="42"/>
      <c r="IL49" s="42"/>
      <c r="IM49" s="42"/>
      <c r="IN49" s="42"/>
      <c r="IO49" s="42"/>
      <c r="IP49" s="42"/>
      <c r="IQ49" s="42"/>
      <c r="IR49" s="42"/>
    </row>
    <row r="50" spans="1:252" s="43" customFormat="1" x14ac:dyDescent="0.45">
      <c r="A50" s="44"/>
      <c r="B50" s="39"/>
      <c r="C50" s="1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44"/>
      <c r="DQ50" s="44"/>
      <c r="DR50" s="44"/>
      <c r="DS50" s="44"/>
      <c r="DT50" s="44"/>
      <c r="DU50" s="44"/>
      <c r="DV50" s="44"/>
      <c r="DW50" s="44"/>
      <c r="DX50" s="44"/>
      <c r="DY50" s="44"/>
      <c r="DZ50" s="44"/>
      <c r="EA50" s="44"/>
      <c r="EB50" s="44"/>
      <c r="EC50" s="44"/>
      <c r="ED50" s="44"/>
      <c r="EE50" s="44"/>
      <c r="EF50" s="44"/>
      <c r="EG50" s="44"/>
      <c r="EH50" s="44"/>
      <c r="EI50" s="44"/>
      <c r="EJ50" s="44"/>
      <c r="EK50" s="44"/>
      <c r="EL50" s="44"/>
      <c r="EM50" s="44"/>
      <c r="EN50" s="44"/>
      <c r="EO50" s="44"/>
      <c r="EP50" s="44"/>
      <c r="EQ50" s="44"/>
      <c r="ER50" s="44"/>
      <c r="ES50" s="44"/>
      <c r="ET50" s="44"/>
      <c r="EU50" s="44"/>
      <c r="EV50" s="44"/>
      <c r="EW50" s="44"/>
      <c r="EX50" s="44"/>
      <c r="EY50" s="44"/>
      <c r="EZ50" s="44"/>
      <c r="FA50" s="44"/>
      <c r="FB50" s="44"/>
      <c r="FC50" s="44"/>
      <c r="FD50" s="44"/>
      <c r="FE50" s="44"/>
      <c r="FF50" s="44"/>
      <c r="FG50" s="44"/>
      <c r="FH50" s="44"/>
      <c r="FI50" s="44"/>
      <c r="FJ50" s="44"/>
      <c r="FK50" s="44"/>
      <c r="FL50" s="44"/>
      <c r="FM50" s="44"/>
      <c r="FN50" s="44"/>
      <c r="FO50" s="44"/>
      <c r="FP50" s="44"/>
      <c r="FQ50" s="44"/>
      <c r="FR50" s="44"/>
      <c r="FS50" s="44"/>
      <c r="FT50" s="44"/>
      <c r="FU50" s="44"/>
      <c r="FV50" s="44"/>
      <c r="FW50" s="44"/>
      <c r="FX50" s="44"/>
      <c r="FY50" s="44"/>
      <c r="FZ50" s="44"/>
      <c r="GA50" s="44"/>
      <c r="GB50" s="44"/>
      <c r="GC50" s="44"/>
      <c r="GD50" s="44"/>
      <c r="GE50" s="44"/>
      <c r="GF50" s="44"/>
      <c r="GG50" s="44"/>
      <c r="GH50" s="44"/>
      <c r="GI50" s="44"/>
      <c r="GJ50" s="44"/>
      <c r="GK50" s="44"/>
      <c r="GL50" s="44"/>
      <c r="GM50" s="44"/>
      <c r="GN50" s="44"/>
      <c r="GO50" s="44"/>
      <c r="GP50" s="44"/>
      <c r="GQ50" s="44"/>
      <c r="GR50" s="44"/>
      <c r="GS50" s="44"/>
      <c r="GT50" s="44"/>
      <c r="GU50" s="44"/>
      <c r="GV50" s="44"/>
      <c r="GW50" s="44"/>
      <c r="GX50" s="44"/>
      <c r="GY50" s="44"/>
      <c r="GZ50" s="44"/>
      <c r="HA50" s="44"/>
      <c r="HB50" s="44"/>
      <c r="HC50" s="44"/>
      <c r="HD50" s="44"/>
      <c r="HE50" s="44"/>
      <c r="HF50" s="44"/>
      <c r="HG50" s="44"/>
      <c r="HH50" s="44"/>
      <c r="HI50" s="44"/>
      <c r="HJ50" s="44"/>
      <c r="HK50" s="44"/>
      <c r="HL50" s="44"/>
      <c r="HM50" s="44"/>
      <c r="HN50" s="44"/>
      <c r="HO50" s="44"/>
      <c r="HP50" s="44"/>
      <c r="HQ50" s="44"/>
      <c r="HR50" s="44"/>
      <c r="HS50" s="44"/>
      <c r="HT50" s="44"/>
      <c r="HU50" s="44"/>
      <c r="HV50" s="44"/>
      <c r="HW50" s="44"/>
      <c r="HX50" s="44"/>
      <c r="HY50" s="44"/>
      <c r="HZ50" s="44"/>
      <c r="IA50" s="44"/>
      <c r="IB50" s="44"/>
      <c r="IC50" s="44"/>
      <c r="ID50" s="44"/>
      <c r="IE50" s="44"/>
      <c r="IF50" s="44"/>
      <c r="IG50" s="44"/>
      <c r="IH50" s="44"/>
      <c r="II50" s="44"/>
      <c r="IJ50" s="44"/>
      <c r="IK50" s="44"/>
      <c r="IL50" s="44"/>
      <c r="IM50" s="44"/>
      <c r="IN50" s="44"/>
      <c r="IO50" s="44"/>
      <c r="IP50" s="44"/>
      <c r="IQ50" s="44"/>
      <c r="IR50" s="44"/>
    </row>
    <row r="51" spans="1:252" x14ac:dyDescent="0.45">
      <c r="B51" s="42"/>
      <c r="C51" s="27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</row>
    <row r="52" spans="1:252" x14ac:dyDescent="0.45">
      <c r="C52" s="1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  <c r="GJ52" s="42"/>
      <c r="GK52" s="42"/>
      <c r="GL52" s="42"/>
      <c r="GM52" s="42"/>
      <c r="GN52" s="42"/>
      <c r="GO52" s="42"/>
      <c r="GP52" s="42"/>
      <c r="GQ52" s="42"/>
      <c r="GR52" s="42"/>
      <c r="GS52" s="42"/>
      <c r="GT52" s="42"/>
      <c r="GU52" s="42"/>
      <c r="GV52" s="42"/>
      <c r="GW52" s="42"/>
      <c r="GX52" s="42"/>
      <c r="GY52" s="42"/>
      <c r="GZ52" s="42"/>
      <c r="HA52" s="42"/>
      <c r="HB52" s="42"/>
      <c r="HC52" s="42"/>
      <c r="HD52" s="42"/>
      <c r="HE52" s="42"/>
      <c r="HF52" s="42"/>
      <c r="HG52" s="42"/>
      <c r="HH52" s="42"/>
      <c r="HI52" s="42"/>
      <c r="HJ52" s="42"/>
      <c r="HK52" s="42"/>
      <c r="HL52" s="42"/>
      <c r="HM52" s="42"/>
      <c r="HN52" s="42"/>
      <c r="HO52" s="42"/>
      <c r="HP52" s="42"/>
      <c r="HQ52" s="42"/>
      <c r="HR52" s="42"/>
      <c r="HS52" s="42"/>
      <c r="HT52" s="42"/>
      <c r="HU52" s="42"/>
      <c r="HV52" s="42"/>
      <c r="HW52" s="42"/>
      <c r="HX52" s="42"/>
      <c r="HY52" s="42"/>
      <c r="HZ52" s="42"/>
      <c r="IA52" s="42"/>
      <c r="IB52" s="42"/>
      <c r="IC52" s="42"/>
      <c r="ID52" s="42"/>
      <c r="IE52" s="42"/>
      <c r="IF52" s="42"/>
      <c r="IG52" s="42"/>
      <c r="IH52" s="42"/>
      <c r="II52" s="42"/>
      <c r="IJ52" s="42"/>
      <c r="IK52" s="42"/>
      <c r="IL52" s="42"/>
      <c r="IM52" s="42"/>
      <c r="IN52" s="42"/>
      <c r="IO52" s="42"/>
      <c r="IP52" s="42"/>
      <c r="IQ52" s="42"/>
      <c r="IR52" s="42"/>
    </row>
    <row r="53" spans="1:252" x14ac:dyDescent="0.45">
      <c r="A53" s="44"/>
      <c r="C53" s="1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4"/>
      <c r="DJ53" s="44"/>
      <c r="DK53" s="44"/>
      <c r="DL53" s="44"/>
      <c r="DM53" s="44"/>
      <c r="DN53" s="44"/>
      <c r="DO53" s="44"/>
      <c r="DP53" s="44"/>
      <c r="DQ53" s="44"/>
      <c r="DR53" s="44"/>
      <c r="DS53" s="44"/>
      <c r="DT53" s="44"/>
      <c r="DU53" s="44"/>
      <c r="DV53" s="44"/>
      <c r="DW53" s="44"/>
      <c r="DX53" s="44"/>
      <c r="DY53" s="44"/>
      <c r="DZ53" s="44"/>
      <c r="EA53" s="44"/>
      <c r="EB53" s="44"/>
      <c r="EC53" s="44"/>
      <c r="ED53" s="44"/>
      <c r="EE53" s="44"/>
      <c r="EF53" s="44"/>
      <c r="EG53" s="44"/>
      <c r="EH53" s="44"/>
      <c r="EI53" s="44"/>
      <c r="EJ53" s="44"/>
      <c r="EK53" s="44"/>
      <c r="EL53" s="44"/>
      <c r="EM53" s="44"/>
      <c r="EN53" s="44"/>
      <c r="EO53" s="44"/>
      <c r="EP53" s="44"/>
      <c r="EQ53" s="44"/>
      <c r="ER53" s="44"/>
      <c r="ES53" s="44"/>
      <c r="ET53" s="44"/>
      <c r="EU53" s="44"/>
      <c r="EV53" s="44"/>
      <c r="EW53" s="44"/>
      <c r="EX53" s="44"/>
      <c r="EY53" s="44"/>
      <c r="EZ53" s="44"/>
      <c r="FA53" s="44"/>
      <c r="FB53" s="44"/>
      <c r="FC53" s="44"/>
      <c r="FD53" s="44"/>
      <c r="FE53" s="44"/>
      <c r="FF53" s="44"/>
      <c r="FG53" s="44"/>
      <c r="FH53" s="44"/>
      <c r="FI53" s="44"/>
      <c r="FJ53" s="44"/>
      <c r="FK53" s="44"/>
      <c r="FL53" s="44"/>
      <c r="FM53" s="44"/>
      <c r="FN53" s="44"/>
      <c r="FO53" s="44"/>
      <c r="FP53" s="44"/>
      <c r="FQ53" s="44"/>
      <c r="FR53" s="44"/>
      <c r="FS53" s="44"/>
      <c r="FT53" s="44"/>
      <c r="FU53" s="44"/>
      <c r="FV53" s="44"/>
      <c r="FW53" s="44"/>
      <c r="FX53" s="44"/>
      <c r="FY53" s="44"/>
      <c r="FZ53" s="44"/>
      <c r="GA53" s="44"/>
      <c r="GB53" s="44"/>
      <c r="GC53" s="44"/>
      <c r="GD53" s="44"/>
      <c r="GE53" s="44"/>
      <c r="GF53" s="44"/>
      <c r="GG53" s="44"/>
      <c r="GH53" s="44"/>
      <c r="GI53" s="44"/>
      <c r="GJ53" s="44"/>
      <c r="GK53" s="44"/>
      <c r="GL53" s="44"/>
      <c r="GM53" s="44"/>
      <c r="GN53" s="44"/>
      <c r="GO53" s="44"/>
      <c r="GP53" s="44"/>
      <c r="GQ53" s="44"/>
      <c r="GR53" s="44"/>
      <c r="GS53" s="44"/>
      <c r="GT53" s="44"/>
      <c r="GU53" s="44"/>
      <c r="GV53" s="44"/>
      <c r="GW53" s="44"/>
      <c r="GX53" s="44"/>
      <c r="GY53" s="44"/>
      <c r="GZ53" s="44"/>
      <c r="HA53" s="44"/>
      <c r="HB53" s="44"/>
      <c r="HC53" s="44"/>
      <c r="HD53" s="44"/>
      <c r="HE53" s="44"/>
      <c r="HF53" s="44"/>
      <c r="HG53" s="44"/>
      <c r="HH53" s="44"/>
      <c r="HI53" s="44"/>
      <c r="HJ53" s="44"/>
      <c r="HK53" s="44"/>
      <c r="HL53" s="44"/>
      <c r="HM53" s="44"/>
      <c r="HN53" s="44"/>
      <c r="HO53" s="44"/>
      <c r="HP53" s="44"/>
      <c r="HQ53" s="44"/>
      <c r="HR53" s="44"/>
      <c r="HS53" s="44"/>
      <c r="HT53" s="44"/>
      <c r="HU53" s="44"/>
      <c r="HV53" s="44"/>
      <c r="HW53" s="44"/>
      <c r="HX53" s="44"/>
      <c r="HY53" s="44"/>
      <c r="HZ53" s="44"/>
      <c r="IA53" s="44"/>
      <c r="IB53" s="44"/>
      <c r="IC53" s="44"/>
      <c r="ID53" s="44"/>
      <c r="IE53" s="44"/>
      <c r="IF53" s="44"/>
      <c r="IG53" s="44"/>
      <c r="IH53" s="44"/>
      <c r="II53" s="44"/>
      <c r="IJ53" s="44"/>
      <c r="IK53" s="44"/>
      <c r="IL53" s="44"/>
      <c r="IM53" s="44"/>
      <c r="IN53" s="44"/>
      <c r="IO53" s="44"/>
      <c r="IP53" s="44"/>
      <c r="IQ53" s="44"/>
      <c r="IR53" s="44"/>
    </row>
    <row r="54" spans="1:252" x14ac:dyDescent="0.45">
      <c r="B54" s="42"/>
      <c r="C54" s="27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IR54" s="39"/>
    </row>
    <row r="55" spans="1:252" x14ac:dyDescent="0.45">
      <c r="C55" s="1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IR55" s="39"/>
    </row>
    <row r="56" spans="1:252" x14ac:dyDescent="0.45">
      <c r="C56" s="1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IR56" s="39"/>
    </row>
    <row r="57" spans="1:252" x14ac:dyDescent="0.45">
      <c r="C57" s="1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IR57" s="39"/>
    </row>
    <row r="58" spans="1:252" s="43" customFormat="1" x14ac:dyDescent="0.45">
      <c r="A58" s="39"/>
      <c r="B58" s="39"/>
      <c r="C58" s="1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</row>
    <row r="59" spans="1:252" x14ac:dyDescent="0.45">
      <c r="C59" s="1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</row>
    <row r="60" spans="1:252" x14ac:dyDescent="0.45">
      <c r="C60" s="1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2"/>
      <c r="GA60" s="42"/>
      <c r="GB60" s="42"/>
      <c r="GC60" s="42"/>
      <c r="GD60" s="42"/>
      <c r="GE60" s="42"/>
      <c r="GF60" s="42"/>
      <c r="GG60" s="42"/>
      <c r="GH60" s="42"/>
      <c r="GI60" s="42"/>
      <c r="GJ60" s="42"/>
      <c r="GK60" s="42"/>
      <c r="GL60" s="42"/>
      <c r="GM60" s="42"/>
      <c r="GN60" s="42"/>
      <c r="GO60" s="42"/>
      <c r="GP60" s="42"/>
      <c r="GQ60" s="42"/>
      <c r="GR60" s="42"/>
      <c r="GS60" s="42"/>
      <c r="GT60" s="42"/>
      <c r="GU60" s="42"/>
      <c r="GV60" s="42"/>
      <c r="GW60" s="42"/>
      <c r="GX60" s="42"/>
      <c r="GY60" s="42"/>
      <c r="GZ60" s="42"/>
      <c r="HA60" s="42"/>
      <c r="HB60" s="42"/>
      <c r="HC60" s="42"/>
      <c r="HD60" s="42"/>
      <c r="HE60" s="42"/>
      <c r="HF60" s="42"/>
      <c r="HG60" s="42"/>
      <c r="HH60" s="42"/>
      <c r="HI60" s="42"/>
      <c r="HJ60" s="42"/>
      <c r="HK60" s="42"/>
      <c r="HL60" s="42"/>
      <c r="HM60" s="42"/>
      <c r="HN60" s="42"/>
      <c r="HO60" s="42"/>
      <c r="HP60" s="42"/>
      <c r="HQ60" s="42"/>
      <c r="HR60" s="42"/>
      <c r="HS60" s="42"/>
      <c r="HT60" s="42"/>
      <c r="HU60" s="42"/>
      <c r="HV60" s="42"/>
      <c r="HW60" s="42"/>
      <c r="HX60" s="42"/>
      <c r="HY60" s="42"/>
      <c r="HZ60" s="42"/>
      <c r="IA60" s="42"/>
      <c r="IB60" s="42"/>
      <c r="IC60" s="42"/>
      <c r="ID60" s="42"/>
      <c r="IE60" s="42"/>
      <c r="IF60" s="42"/>
      <c r="IG60" s="42"/>
      <c r="IH60" s="42"/>
      <c r="II60" s="42"/>
      <c r="IJ60" s="42"/>
      <c r="IK60" s="42"/>
      <c r="IL60" s="42"/>
      <c r="IM60" s="42"/>
      <c r="IN60" s="42"/>
      <c r="IO60" s="42"/>
      <c r="IP60" s="42"/>
      <c r="IQ60" s="42"/>
      <c r="IR60" s="42"/>
    </row>
    <row r="61" spans="1:252" s="43" customFormat="1" x14ac:dyDescent="0.45">
      <c r="A61" s="44"/>
      <c r="B61" s="39"/>
      <c r="C61" s="1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4"/>
      <c r="DJ61" s="44"/>
      <c r="DK61" s="44"/>
      <c r="DL61" s="44"/>
      <c r="DM61" s="44"/>
      <c r="DN61" s="44"/>
      <c r="DO61" s="44"/>
      <c r="DP61" s="44"/>
      <c r="DQ61" s="44"/>
      <c r="DR61" s="44"/>
      <c r="DS61" s="44"/>
      <c r="DT61" s="44"/>
      <c r="DU61" s="44"/>
      <c r="DV61" s="44"/>
      <c r="DW61" s="44"/>
      <c r="DX61" s="44"/>
      <c r="DY61" s="44"/>
      <c r="DZ61" s="44"/>
      <c r="EA61" s="44"/>
      <c r="EB61" s="44"/>
      <c r="EC61" s="44"/>
      <c r="ED61" s="44"/>
      <c r="EE61" s="44"/>
      <c r="EF61" s="44"/>
      <c r="EG61" s="44"/>
      <c r="EH61" s="44"/>
      <c r="EI61" s="44"/>
      <c r="EJ61" s="44"/>
      <c r="EK61" s="44"/>
      <c r="EL61" s="44"/>
      <c r="EM61" s="44"/>
      <c r="EN61" s="44"/>
      <c r="EO61" s="44"/>
      <c r="EP61" s="44"/>
      <c r="EQ61" s="44"/>
      <c r="ER61" s="44"/>
      <c r="ES61" s="44"/>
      <c r="ET61" s="44"/>
      <c r="EU61" s="44"/>
      <c r="EV61" s="44"/>
      <c r="EW61" s="44"/>
      <c r="EX61" s="44"/>
      <c r="EY61" s="44"/>
      <c r="EZ61" s="44"/>
      <c r="FA61" s="44"/>
      <c r="FB61" s="44"/>
      <c r="FC61" s="44"/>
      <c r="FD61" s="44"/>
      <c r="FE61" s="44"/>
      <c r="FF61" s="44"/>
      <c r="FG61" s="44"/>
      <c r="FH61" s="44"/>
      <c r="FI61" s="44"/>
      <c r="FJ61" s="44"/>
      <c r="FK61" s="44"/>
      <c r="FL61" s="44"/>
      <c r="FM61" s="44"/>
      <c r="FN61" s="44"/>
      <c r="FO61" s="44"/>
      <c r="FP61" s="44"/>
      <c r="FQ61" s="44"/>
      <c r="FR61" s="44"/>
      <c r="FS61" s="44"/>
      <c r="FT61" s="44"/>
      <c r="FU61" s="44"/>
      <c r="FV61" s="44"/>
      <c r="FW61" s="44"/>
      <c r="FX61" s="44"/>
      <c r="FY61" s="44"/>
      <c r="FZ61" s="44"/>
      <c r="GA61" s="44"/>
      <c r="GB61" s="44"/>
      <c r="GC61" s="44"/>
      <c r="GD61" s="44"/>
      <c r="GE61" s="44"/>
      <c r="GF61" s="44"/>
      <c r="GG61" s="44"/>
      <c r="GH61" s="44"/>
      <c r="GI61" s="44"/>
      <c r="GJ61" s="44"/>
      <c r="GK61" s="44"/>
      <c r="GL61" s="44"/>
      <c r="GM61" s="44"/>
      <c r="GN61" s="44"/>
      <c r="GO61" s="44"/>
      <c r="GP61" s="44"/>
      <c r="GQ61" s="44"/>
      <c r="GR61" s="44"/>
      <c r="GS61" s="44"/>
      <c r="GT61" s="44"/>
      <c r="GU61" s="44"/>
      <c r="GV61" s="44"/>
      <c r="GW61" s="44"/>
      <c r="GX61" s="44"/>
      <c r="GY61" s="44"/>
      <c r="GZ61" s="44"/>
      <c r="HA61" s="44"/>
      <c r="HB61" s="44"/>
      <c r="HC61" s="44"/>
      <c r="HD61" s="44"/>
      <c r="HE61" s="44"/>
      <c r="HF61" s="44"/>
      <c r="HG61" s="44"/>
      <c r="HH61" s="44"/>
      <c r="HI61" s="44"/>
      <c r="HJ61" s="44"/>
      <c r="HK61" s="44"/>
      <c r="HL61" s="44"/>
      <c r="HM61" s="44"/>
      <c r="HN61" s="44"/>
      <c r="HO61" s="44"/>
      <c r="HP61" s="44"/>
      <c r="HQ61" s="44"/>
      <c r="HR61" s="44"/>
      <c r="HS61" s="44"/>
      <c r="HT61" s="44"/>
      <c r="HU61" s="44"/>
      <c r="HV61" s="44"/>
      <c r="HW61" s="44"/>
      <c r="HX61" s="44"/>
      <c r="HY61" s="44"/>
      <c r="HZ61" s="44"/>
      <c r="IA61" s="44"/>
      <c r="IB61" s="44"/>
      <c r="IC61" s="44"/>
      <c r="ID61" s="44"/>
      <c r="IE61" s="44"/>
      <c r="IF61" s="44"/>
      <c r="IG61" s="44"/>
      <c r="IH61" s="44"/>
      <c r="II61" s="44"/>
      <c r="IJ61" s="44"/>
      <c r="IK61" s="44"/>
      <c r="IL61" s="44"/>
      <c r="IM61" s="44"/>
      <c r="IN61" s="44"/>
      <c r="IO61" s="44"/>
      <c r="IP61" s="44"/>
      <c r="IQ61" s="44"/>
      <c r="IR61" s="44"/>
    </row>
    <row r="62" spans="1:252" x14ac:dyDescent="0.45">
      <c r="C62" s="1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</row>
    <row r="63" spans="1:252" x14ac:dyDescent="0.45">
      <c r="C63" s="1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"/>
      <c r="BM63" s="4"/>
      <c r="BN63" s="4"/>
      <c r="BO63" s="4"/>
      <c r="BP63" s="4"/>
      <c r="BQ63" s="4"/>
      <c r="BR63" s="4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/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  <c r="FF63" s="42"/>
      <c r="FG63" s="42"/>
      <c r="FH63" s="42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2"/>
      <c r="GA63" s="42"/>
      <c r="GB63" s="42"/>
      <c r="GC63" s="42"/>
      <c r="GD63" s="42"/>
      <c r="GE63" s="42"/>
      <c r="GF63" s="42"/>
      <c r="GG63" s="42"/>
      <c r="GH63" s="42"/>
      <c r="GI63" s="42"/>
      <c r="GJ63" s="42"/>
      <c r="GK63" s="42"/>
      <c r="GL63" s="42"/>
      <c r="GM63" s="42"/>
      <c r="GN63" s="42"/>
      <c r="GO63" s="42"/>
      <c r="GP63" s="42"/>
      <c r="GQ63" s="42"/>
      <c r="GR63" s="42"/>
      <c r="GS63" s="42"/>
      <c r="GT63" s="42"/>
      <c r="GU63" s="42"/>
      <c r="GV63" s="42"/>
      <c r="GW63" s="42"/>
      <c r="GX63" s="42"/>
      <c r="GY63" s="42"/>
      <c r="GZ63" s="42"/>
      <c r="HA63" s="42"/>
      <c r="HB63" s="42"/>
      <c r="HC63" s="42"/>
      <c r="HD63" s="42"/>
      <c r="HE63" s="42"/>
      <c r="HF63" s="42"/>
      <c r="HG63" s="42"/>
      <c r="HH63" s="42"/>
      <c r="HI63" s="42"/>
      <c r="HJ63" s="42"/>
      <c r="HK63" s="42"/>
      <c r="HL63" s="42"/>
      <c r="HM63" s="42"/>
      <c r="HN63" s="42"/>
      <c r="HO63" s="42"/>
      <c r="HP63" s="42"/>
      <c r="HQ63" s="42"/>
      <c r="HR63" s="42"/>
      <c r="HS63" s="42"/>
      <c r="HT63" s="42"/>
      <c r="HU63" s="42"/>
      <c r="HV63" s="42"/>
      <c r="HW63" s="42"/>
      <c r="HX63" s="42"/>
      <c r="HY63" s="42"/>
      <c r="HZ63" s="42"/>
      <c r="IA63" s="42"/>
      <c r="IB63" s="42"/>
      <c r="IC63" s="42"/>
      <c r="ID63" s="42"/>
      <c r="IE63" s="42"/>
      <c r="IF63" s="42"/>
      <c r="IG63" s="42"/>
      <c r="IH63" s="42"/>
      <c r="II63" s="42"/>
      <c r="IJ63" s="42"/>
      <c r="IK63" s="42"/>
      <c r="IL63" s="42"/>
      <c r="IM63" s="42"/>
      <c r="IN63" s="42"/>
      <c r="IO63" s="42"/>
      <c r="IP63" s="42"/>
      <c r="IQ63" s="42"/>
      <c r="IR63" s="42"/>
    </row>
    <row r="64" spans="1:252" x14ac:dyDescent="0.45">
      <c r="A64" s="1"/>
      <c r="C64" s="1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1"/>
    </row>
    <row r="65" spans="2:63" x14ac:dyDescent="0.45">
      <c r="B65" s="42"/>
      <c r="C65" s="27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</row>
    <row r="66" spans="2:63" x14ac:dyDescent="0.45">
      <c r="C66" s="1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</row>
    <row r="67" spans="2:63" x14ac:dyDescent="0.45">
      <c r="C67" s="1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</row>
    <row r="68" spans="2:63" x14ac:dyDescent="0.45">
      <c r="B68" s="42"/>
      <c r="C68" s="27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</row>
    <row r="69" spans="2:63" x14ac:dyDescent="0.45">
      <c r="C69" s="1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SQRNavigation</vt:lpstr>
      <vt:lpstr>SQRInputBindings</vt:lpstr>
      <vt:lpstr>SQRChartBindings</vt:lpstr>
      <vt:lpstr>SQRAnnual</vt:lpstr>
      <vt:lpstr>SQRMonthly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Davidson</dc:creator>
  <cp:lastModifiedBy>Andy Davidson</cp:lastModifiedBy>
  <dcterms:created xsi:type="dcterms:W3CDTF">2023-08-23T18:02:17Z</dcterms:created>
  <dcterms:modified xsi:type="dcterms:W3CDTF">2023-08-28T22:19:17Z</dcterms:modified>
</cp:coreProperties>
</file>